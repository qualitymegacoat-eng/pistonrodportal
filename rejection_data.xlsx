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PistonRodPortal\"/>
    </mc:Choice>
  </mc:AlternateContent>
  <xr:revisionPtr revIDLastSave="0" documentId="13_ncr:1_{F6CE5709-106C-4B2A-A94A-2D6E9B33672E}" xr6:coauthVersionLast="47" xr6:coauthVersionMax="47" xr10:uidLastSave="{00000000-0000-0000-0000-000000000000}"/>
  <bookViews>
    <workbookView xWindow="-120" yWindow="-120" windowWidth="20730" windowHeight="11040" xr2:uid="{2FF8ABF7-B34E-4442-953A-A8AB69CBC555}"/>
  </bookViews>
  <sheets>
    <sheet name="May-2026 Report" sheetId="1" r:id="rId1"/>
  </sheets>
  <definedNames>
    <definedName name="_xlnm._FilterDatabase" localSheetId="0" hidden="1">'May-2026 Report'!$A$2:$AN$28</definedName>
    <definedName name="_xlnm.Print_Area" localSheetId="0">'May-2026 Report'!$A$1:$AM$26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5" i="1" l="1"/>
  <c r="AA26" i="1" s="1"/>
  <c r="U23" i="1"/>
  <c r="U24" i="1" s="1"/>
  <c r="AB22" i="1"/>
  <c r="AA22" i="1"/>
  <c r="Z22" i="1"/>
  <c r="Y22" i="1"/>
  <c r="X22" i="1"/>
  <c r="W22" i="1"/>
  <c r="V22" i="1"/>
  <c r="U22" i="1"/>
  <c r="T22" i="1"/>
  <c r="Z19" i="1"/>
  <c r="Y19" i="1"/>
  <c r="W19" i="1"/>
  <c r="V19" i="1"/>
  <c r="U19" i="1"/>
  <c r="AB18" i="1"/>
  <c r="AB25" i="1" s="1"/>
  <c r="AB26" i="1" s="1"/>
  <c r="AA18" i="1"/>
  <c r="Z18" i="1"/>
  <c r="Z25" i="1" s="1"/>
  <c r="Z26" i="1" s="1"/>
  <c r="Y18" i="1"/>
  <c r="Y25" i="1" s="1"/>
  <c r="Y26" i="1" s="1"/>
  <c r="X18" i="1"/>
  <c r="X25" i="1" s="1"/>
  <c r="X26" i="1" s="1"/>
  <c r="W18" i="1"/>
  <c r="W25" i="1" s="1"/>
  <c r="W26" i="1" s="1"/>
  <c r="V18" i="1"/>
  <c r="V25" i="1" s="1"/>
  <c r="V26" i="1" s="1"/>
  <c r="U18" i="1"/>
  <c r="U25" i="1" s="1"/>
  <c r="U26" i="1" s="1"/>
  <c r="T18" i="1"/>
  <c r="T25" i="1" s="1"/>
  <c r="T26" i="1" s="1"/>
  <c r="AB15" i="1"/>
  <c r="AB23" i="1" s="1"/>
  <c r="AB24" i="1" s="1"/>
  <c r="AA15" i="1"/>
  <c r="AA23" i="1" s="1"/>
  <c r="AA24" i="1" s="1"/>
  <c r="Z15" i="1"/>
  <c r="Z23" i="1" s="1"/>
  <c r="Z24" i="1" s="1"/>
  <c r="Y15" i="1"/>
  <c r="Y23" i="1" s="1"/>
  <c r="Y24" i="1" s="1"/>
  <c r="X15" i="1"/>
  <c r="X23" i="1" s="1"/>
  <c r="X24" i="1" s="1"/>
  <c r="W15" i="1"/>
  <c r="W23" i="1" s="1"/>
  <c r="W24" i="1" s="1"/>
  <c r="V15" i="1"/>
  <c r="V23" i="1" s="1"/>
  <c r="V24" i="1" s="1"/>
  <c r="U15" i="1"/>
  <c r="T15" i="1"/>
  <c r="T23" i="1" s="1"/>
  <c r="T24" i="1" s="1"/>
  <c r="Z14" i="1"/>
  <c r="AB13" i="1"/>
  <c r="AA13" i="1"/>
  <c r="Z13" i="1"/>
  <c r="Y13" i="1"/>
  <c r="X13" i="1"/>
  <c r="W13" i="1"/>
  <c r="V13" i="1"/>
  <c r="U13" i="1"/>
  <c r="T13" i="1"/>
  <c r="Z12" i="1"/>
  <c r="Y12" i="1"/>
  <c r="X12" i="1"/>
  <c r="V12" i="1"/>
  <c r="U12" i="1"/>
  <c r="T12" i="1"/>
  <c r="AB11" i="1"/>
  <c r="AA11" i="1"/>
  <c r="Z11" i="1"/>
  <c r="Y11" i="1"/>
  <c r="X11" i="1"/>
  <c r="W11" i="1"/>
  <c r="V11" i="1"/>
  <c r="U11" i="1"/>
  <c r="T11" i="1"/>
  <c r="Z10" i="1"/>
  <c r="Y10" i="1"/>
  <c r="W10" i="1"/>
  <c r="AB9" i="1"/>
  <c r="AA9" i="1"/>
  <c r="Z9" i="1"/>
  <c r="Y9" i="1"/>
  <c r="X9" i="1"/>
  <c r="W9" i="1"/>
  <c r="V9" i="1"/>
  <c r="U9" i="1"/>
  <c r="T9" i="1"/>
  <c r="AB8" i="1"/>
  <c r="AA8" i="1"/>
  <c r="Z8" i="1"/>
  <c r="Y8" i="1"/>
  <c r="X8" i="1"/>
  <c r="W8" i="1"/>
  <c r="V8" i="1"/>
  <c r="U8" i="1"/>
  <c r="T8" i="1"/>
  <c r="AB5" i="1"/>
  <c r="AA5" i="1"/>
  <c r="Z5" i="1"/>
  <c r="Y5" i="1"/>
  <c r="X5" i="1"/>
  <c r="W5" i="1"/>
  <c r="V5" i="1"/>
  <c r="U5" i="1"/>
  <c r="T5" i="1"/>
  <c r="R27" i="1" l="1"/>
  <c r="AH26" i="1"/>
  <c r="AG26" i="1"/>
  <c r="R26" i="1"/>
  <c r="AL25" i="1"/>
  <c r="AL26" i="1" s="1"/>
  <c r="AJ25" i="1"/>
  <c r="AJ26" i="1" s="1"/>
  <c r="AI25" i="1"/>
  <c r="AI26" i="1" s="1"/>
  <c r="AH25" i="1"/>
  <c r="AG25" i="1"/>
  <c r="AF25" i="1"/>
  <c r="AF26" i="1" s="1"/>
  <c r="AE25" i="1"/>
  <c r="AE26" i="1" s="1"/>
  <c r="AD25" i="1"/>
  <c r="AD26" i="1" s="1"/>
  <c r="AC25" i="1"/>
  <c r="AC26" i="1" s="1"/>
  <c r="S25" i="1"/>
  <c r="S26" i="1" s="1"/>
  <c r="R25" i="1"/>
  <c r="P25" i="1"/>
  <c r="P26" i="1" s="1"/>
  <c r="H25" i="1"/>
  <c r="AL23" i="1"/>
  <c r="AL24" i="1" s="1"/>
  <c r="AK23" i="1"/>
  <c r="AJ23" i="1"/>
  <c r="AJ24" i="1" s="1"/>
  <c r="AI23" i="1"/>
  <c r="AI24" i="1" s="1"/>
  <c r="AH23" i="1"/>
  <c r="AH24" i="1" s="1"/>
  <c r="AG23" i="1"/>
  <c r="AG24" i="1" s="1"/>
  <c r="AF23" i="1"/>
  <c r="AF24" i="1" s="1"/>
  <c r="AE23" i="1"/>
  <c r="AE24" i="1" s="1"/>
  <c r="AD23" i="1"/>
  <c r="AD24" i="1" s="1"/>
  <c r="AC23" i="1"/>
  <c r="AC24" i="1" s="1"/>
  <c r="S23" i="1"/>
  <c r="S24" i="1" s="1"/>
  <c r="R23" i="1"/>
  <c r="R24" i="1" s="1"/>
  <c r="H23" i="1"/>
  <c r="H24" i="1" s="1"/>
  <c r="Q22" i="1"/>
  <c r="P22" i="1"/>
  <c r="O22" i="1"/>
  <c r="N22" i="1"/>
  <c r="M22" i="1"/>
  <c r="L22" i="1"/>
  <c r="K22" i="1"/>
  <c r="J22" i="1"/>
  <c r="AM22" i="1" s="1"/>
  <c r="I22" i="1"/>
  <c r="F22" i="1" s="1"/>
  <c r="AM21" i="1"/>
  <c r="F21" i="1"/>
  <c r="C21" i="1"/>
  <c r="AM20" i="1"/>
  <c r="F20" i="1"/>
  <c r="C20" i="1"/>
  <c r="O19" i="1"/>
  <c r="N19" i="1"/>
  <c r="L19" i="1"/>
  <c r="K19" i="1"/>
  <c r="J19" i="1"/>
  <c r="AM19" i="1" s="1"/>
  <c r="F19" i="1"/>
  <c r="C19" i="1"/>
  <c r="Q18" i="1"/>
  <c r="Q25" i="1" s="1"/>
  <c r="Q26" i="1" s="1"/>
  <c r="P18" i="1"/>
  <c r="O18" i="1"/>
  <c r="O25" i="1" s="1"/>
  <c r="O26" i="1" s="1"/>
  <c r="N18" i="1"/>
  <c r="N25" i="1" s="1"/>
  <c r="N26" i="1" s="1"/>
  <c r="M18" i="1"/>
  <c r="M25" i="1" s="1"/>
  <c r="M26" i="1" s="1"/>
  <c r="L18" i="1"/>
  <c r="L25" i="1" s="1"/>
  <c r="L26" i="1" s="1"/>
  <c r="K18" i="1"/>
  <c r="K25" i="1" s="1"/>
  <c r="K26" i="1" s="1"/>
  <c r="J18" i="1"/>
  <c r="J25" i="1" s="1"/>
  <c r="J26" i="1" s="1"/>
  <c r="I18" i="1"/>
  <c r="AM18" i="1" s="1"/>
  <c r="C18" i="1"/>
  <c r="AM17" i="1"/>
  <c r="F17" i="1"/>
  <c r="C17" i="1"/>
  <c r="AM16" i="1"/>
  <c r="F16" i="1"/>
  <c r="C16" i="1"/>
  <c r="Q15" i="1"/>
  <c r="Q23" i="1" s="1"/>
  <c r="Q24" i="1" s="1"/>
  <c r="P15" i="1"/>
  <c r="P23" i="1" s="1"/>
  <c r="P24" i="1" s="1"/>
  <c r="O15" i="1"/>
  <c r="N15" i="1"/>
  <c r="N23" i="1" s="1"/>
  <c r="N24" i="1" s="1"/>
  <c r="M15" i="1"/>
  <c r="M23" i="1" s="1"/>
  <c r="M24" i="1" s="1"/>
  <c r="L15" i="1"/>
  <c r="L23" i="1" s="1"/>
  <c r="L24" i="1" s="1"/>
  <c r="K15" i="1"/>
  <c r="K23" i="1" s="1"/>
  <c r="K24" i="1" s="1"/>
  <c r="J15" i="1"/>
  <c r="J23" i="1" s="1"/>
  <c r="J24" i="1" s="1"/>
  <c r="I15" i="1"/>
  <c r="I23" i="1" s="1"/>
  <c r="I24" i="1" s="1"/>
  <c r="C15" i="1"/>
  <c r="O14" i="1"/>
  <c r="AM14" i="1" s="1"/>
  <c r="C14" i="1"/>
  <c r="AM13" i="1"/>
  <c r="Q13" i="1"/>
  <c r="P13" i="1"/>
  <c r="O13" i="1"/>
  <c r="N13" i="1"/>
  <c r="M13" i="1"/>
  <c r="L13" i="1"/>
  <c r="K13" i="1"/>
  <c r="J13" i="1"/>
  <c r="I13" i="1"/>
  <c r="F13" i="1" s="1"/>
  <c r="C13" i="1"/>
  <c r="O12" i="1"/>
  <c r="N12" i="1"/>
  <c r="M12" i="1"/>
  <c r="K12" i="1"/>
  <c r="F12" i="1" s="1"/>
  <c r="J12" i="1"/>
  <c r="I12" i="1"/>
  <c r="C12" i="1"/>
  <c r="Q11" i="1"/>
  <c r="P11" i="1"/>
  <c r="O11" i="1"/>
  <c r="N11" i="1"/>
  <c r="M11" i="1"/>
  <c r="L11" i="1"/>
  <c r="K11" i="1"/>
  <c r="J11" i="1"/>
  <c r="I11" i="1"/>
  <c r="AM11" i="1" s="1"/>
  <c r="C11" i="1"/>
  <c r="O10" i="1"/>
  <c r="N10" i="1"/>
  <c r="L10" i="1"/>
  <c r="AM10" i="1" s="1"/>
  <c r="F10" i="1"/>
  <c r="C10" i="1"/>
  <c r="Q9" i="1"/>
  <c r="P9" i="1"/>
  <c r="O9" i="1"/>
  <c r="N9" i="1"/>
  <c r="M9" i="1"/>
  <c r="L9" i="1"/>
  <c r="F9" i="1" s="1"/>
  <c r="K9" i="1"/>
  <c r="J9" i="1"/>
  <c r="I9" i="1"/>
  <c r="AM9" i="1" s="1"/>
  <c r="C9" i="1"/>
  <c r="Q8" i="1"/>
  <c r="P8" i="1"/>
  <c r="O8" i="1"/>
  <c r="N8" i="1"/>
  <c r="M8" i="1"/>
  <c r="L8" i="1"/>
  <c r="K8" i="1"/>
  <c r="J8" i="1"/>
  <c r="AM8" i="1" s="1"/>
  <c r="I8" i="1"/>
  <c r="F8" i="1" s="1"/>
  <c r="C8" i="1"/>
  <c r="AM7" i="1"/>
  <c r="F7" i="1"/>
  <c r="C7" i="1"/>
  <c r="AM6" i="1"/>
  <c r="F6" i="1"/>
  <c r="C6" i="1"/>
  <c r="Q5" i="1"/>
  <c r="P5" i="1"/>
  <c r="O5" i="1"/>
  <c r="F5" i="1" s="1"/>
  <c r="N5" i="1"/>
  <c r="AM5" i="1" s="1"/>
  <c r="M5" i="1"/>
  <c r="L5" i="1"/>
  <c r="K5" i="1"/>
  <c r="J5" i="1"/>
  <c r="I5" i="1"/>
  <c r="C5" i="1"/>
  <c r="D18" i="1" l="1"/>
  <c r="D8" i="1"/>
  <c r="D11" i="1"/>
  <c r="D9" i="1"/>
  <c r="D19" i="1"/>
  <c r="D13" i="1"/>
  <c r="D5" i="1"/>
  <c r="D10" i="1"/>
  <c r="D17" i="1"/>
  <c r="F11" i="1"/>
  <c r="F15" i="1"/>
  <c r="H26" i="1"/>
  <c r="O23" i="1"/>
  <c r="O24" i="1" s="1"/>
  <c r="AM15" i="1"/>
  <c r="I25" i="1"/>
  <c r="I26" i="1" s="1"/>
  <c r="F14" i="1"/>
  <c r="AM12" i="1"/>
  <c r="D12" i="1" s="1"/>
  <c r="F18" i="1"/>
  <c r="AM25" i="1" l="1"/>
  <c r="AM26" i="1" s="1"/>
  <c r="D15" i="1"/>
  <c r="AM23" i="1"/>
  <c r="AM24" i="1" l="1"/>
  <c r="D7" i="1" s="1"/>
  <c r="D6" i="1"/>
  <c r="D22" i="1" s="1"/>
</calcChain>
</file>

<file path=xl/sharedStrings.xml><?xml version="1.0" encoding="utf-8"?>
<sst xmlns="http://schemas.openxmlformats.org/spreadsheetml/2006/main" count="69" uniqueCount="39">
  <si>
    <t>Rejection Data May-2026</t>
  </si>
  <si>
    <t>F/PCG/QAD/R/03 REV.01 ,REV DATE: 01.06.2023</t>
  </si>
  <si>
    <t>ON Date</t>
  </si>
  <si>
    <t xml:space="preserve">Per Day </t>
  </si>
  <si>
    <t>ORG%</t>
  </si>
  <si>
    <t>ACH%</t>
  </si>
  <si>
    <t>Qty A</t>
  </si>
  <si>
    <t>Qty Targrt</t>
  </si>
  <si>
    <t>TOTAL REJECTION</t>
  </si>
  <si>
    <t>Defects</t>
  </si>
  <si>
    <t>Qty</t>
  </si>
  <si>
    <t>QTY</t>
  </si>
  <si>
    <t xml:space="preserve">Remark </t>
  </si>
  <si>
    <t>Dent</t>
  </si>
  <si>
    <t xml:space="preserve">Black mark </t>
  </si>
  <si>
    <t xml:space="preserve">CUT MARK </t>
  </si>
  <si>
    <t xml:space="preserve">GD </t>
  </si>
  <si>
    <t>PD</t>
  </si>
  <si>
    <t>PH (Major)</t>
  </si>
  <si>
    <t xml:space="preserve"> OD U/S</t>
  </si>
  <si>
    <t xml:space="preserve"> OD O/S</t>
  </si>
  <si>
    <t xml:space="preserve">Gala  - M </t>
  </si>
  <si>
    <t>Gala  - P</t>
  </si>
  <si>
    <t>BUSH PLATING</t>
  </si>
  <si>
    <t>HEX</t>
  </si>
  <si>
    <t>MC</t>
  </si>
  <si>
    <t>MD</t>
  </si>
  <si>
    <t>RM</t>
  </si>
  <si>
    <t>CK/LM</t>
  </si>
  <si>
    <t>GD</t>
  </si>
  <si>
    <t>Total Insp</t>
  </si>
  <si>
    <t>Rework Qty</t>
  </si>
  <si>
    <t>Rework%</t>
  </si>
  <si>
    <t>Rejection Qty</t>
  </si>
  <si>
    <t>Rejection %</t>
  </si>
  <si>
    <t>gd</t>
  </si>
  <si>
    <t>PH</t>
  </si>
  <si>
    <t xml:space="preserve">GALA </t>
  </si>
  <si>
    <t>7 MM O/S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</si>
</sst>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72"/>
      <color theme="1"/>
      <name val="Times New Roman"/>
      <family val="1"/>
    </font>
    <font>
      <b/>
      <sz val="7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trike/>
      <sz val="18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72"/>
      <color rgb="FFFF0000"/>
      <name val="Calibri"/>
      <family val="2"/>
      <scheme val="minor"/>
    </font>
    <font>
      <b/>
      <sz val="48"/>
      <color theme="0"/>
      <name val="Bodoni MT Condensed"/>
      <family val="1"/>
    </font>
    <font>
      <sz val="14"/>
      <color theme="1"/>
      <name val="Calibri"/>
      <family val="2"/>
      <scheme val="minor"/>
    </font>
    <font>
      <b/>
      <sz val="48"/>
      <name val="Arial Black"/>
      <family val="2"/>
    </font>
    <font>
      <b/>
      <sz val="36"/>
      <name val="Arial Black"/>
      <family val="2"/>
    </font>
    <font>
      <b/>
      <sz val="26"/>
      <name val="Arial Black"/>
      <family val="2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0"/>
      <name val="Bodoni MT Condensed"/>
      <family val="1"/>
    </font>
    <font>
      <sz val="3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12" fillId="2" borderId="6" xfId="0" applyNumberFormat="1" applyFont="1" applyFill="1" applyBorder="1" applyAlignment="1">
      <alignment horizontal="center" vertical="center"/>
    </xf>
    <xf numFmtId="2" fontId="13" fillId="2" borderId="5" xfId="0" applyNumberFormat="1" applyFont="1" applyFill="1" applyBorder="1" applyAlignment="1">
      <alignment horizontal="center" vertical="center"/>
    </xf>
    <xf numFmtId="1" fontId="12" fillId="2" borderId="6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0" fillId="0" borderId="5" xfId="0" applyBorder="1"/>
    <xf numFmtId="0" fontId="10" fillId="0" borderId="8" xfId="0" applyFont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2" fontId="12" fillId="2" borderId="5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4" fillId="3" borderId="5" xfId="0" quotePrefix="1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9" fontId="19" fillId="5" borderId="5" xfId="0" applyNumberFormat="1" applyFont="1" applyFill="1" applyBorder="1" applyAlignment="1">
      <alignment horizontal="center" vertical="center"/>
    </xf>
    <xf numFmtId="2" fontId="20" fillId="5" borderId="5" xfId="0" applyNumberFormat="1" applyFont="1" applyFill="1" applyBorder="1" applyAlignment="1">
      <alignment horizontal="center" vertical="center"/>
    </xf>
    <xf numFmtId="2" fontId="20" fillId="3" borderId="5" xfId="0" applyNumberFormat="1" applyFont="1" applyFill="1" applyBorder="1" applyAlignment="1">
      <alignment horizontal="center" vertical="center"/>
    </xf>
    <xf numFmtId="2" fontId="22" fillId="6" borderId="0" xfId="0" applyNumberFormat="1" applyFont="1" applyFill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10" fontId="19" fillId="2" borderId="5" xfId="0" applyNumberFormat="1" applyFont="1" applyFill="1" applyBorder="1" applyAlignment="1">
      <alignment horizontal="center" vertical="center"/>
    </xf>
    <xf numFmtId="2" fontId="20" fillId="2" borderId="5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3" fillId="0" borderId="0" xfId="0" applyFont="1"/>
    <xf numFmtId="0" fontId="22" fillId="0" borderId="0" xfId="0" applyFont="1"/>
    <xf numFmtId="0" fontId="24" fillId="6" borderId="5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/>
    <xf numFmtId="0" fontId="1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IN"/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'May-2026 Report'!$B$7:$B$21</c:f>
              <c:strCache>
                <c:ptCount val="15"/>
                <c:pt idx="0">
                  <c:v>CUT MARK </c:v>
                </c:pt>
                <c:pt idx="1">
                  <c:v>GD </c:v>
                </c:pt>
                <c:pt idx="2">
                  <c:v>PD</c:v>
                </c:pt>
                <c:pt idx="3">
                  <c:v>PH (Major)</c:v>
                </c:pt>
                <c:pt idx="4">
                  <c:v> OD U/S</c:v>
                </c:pt>
                <c:pt idx="5">
                  <c:v> OD O/S</c:v>
                </c:pt>
                <c:pt idx="6">
                  <c:v>Gala  - M </c:v>
                </c:pt>
                <c:pt idx="7">
                  <c:v>Gala  - P</c:v>
                </c:pt>
                <c:pt idx="8">
                  <c:v>BUSH PLATING</c:v>
                </c:pt>
                <c:pt idx="9">
                  <c:v>HEX</c:v>
                </c:pt>
                <c:pt idx="10">
                  <c:v>MC</c:v>
                </c:pt>
                <c:pt idx="11">
                  <c:v>MD</c:v>
                </c:pt>
                <c:pt idx="12">
                  <c:v>RM</c:v>
                </c:pt>
                <c:pt idx="13">
                  <c:v>CK/LM</c:v>
                </c:pt>
                <c:pt idx="14">
                  <c:v>GD</c:v>
                </c:pt>
              </c:strCache>
            </c:strRef>
          </c:cat>
          <c:val>
            <c:numRef>
              <c:f>'May-2026 Report'!$AL$7:$AL$21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A0A8-4AD6-A937-88350C9CCD2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txPr>
    <a:bodyPr/>
    <a:lstStyle/>
    <a:p>
      <a:pPr>
        <a:defRPr sz="2800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470162097095994E-4"/>
          <c:y val="8.4701030927835055E-2"/>
          <c:w val="0.98533096296090339"/>
          <c:h val="0.74698411667613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'May-2026 Report'!$B$24</c:f>
              <c:strCache>
                <c:ptCount val="1"/>
                <c:pt idx="0">
                  <c:v>Rework%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'May-2026 Report'!$H$2:$AL$2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'May-2026 Report'!$H$24:$AL$24</c:f>
              <c:numCache>
                <c:formatCode>0.00</c:formatCode>
                <c:ptCount val="31"/>
                <c:pt idx="0">
                  <c:v>0</c:v>
                </c:pt>
                <c:pt idx="1">
                  <c:v>8.1020339363973495</c:v>
                </c:pt>
                <c:pt idx="2">
                  <c:v>16.54494382022472</c:v>
                </c:pt>
                <c:pt idx="3">
                  <c:v>10.598791755508174</c:v>
                </c:pt>
                <c:pt idx="4">
                  <c:v>8.1225285737500688</c:v>
                </c:pt>
                <c:pt idx="5">
                  <c:v>12.099227708869646</c:v>
                </c:pt>
                <c:pt idx="6">
                  <c:v>11.976187308766795</c:v>
                </c:pt>
                <c:pt idx="7">
                  <c:v>13.121998078770414</c:v>
                </c:pt>
                <c:pt idx="8">
                  <c:v>10.06338028169014</c:v>
                </c:pt>
                <c:pt idx="9">
                  <c:v>9.7628304821150849</c:v>
                </c:pt>
                <c:pt idx="10">
                  <c:v>10.263678066609479</c:v>
                </c:pt>
                <c:pt idx="11">
                  <c:v>8.0067567567567561</c:v>
                </c:pt>
                <c:pt idx="12">
                  <c:v>8.1020339363973495</c:v>
                </c:pt>
                <c:pt idx="13">
                  <c:v>16.54494382022472</c:v>
                </c:pt>
                <c:pt idx="14">
                  <c:v>10.598791755508174</c:v>
                </c:pt>
                <c:pt idx="15">
                  <c:v>8.1225285737500688</c:v>
                </c:pt>
                <c:pt idx="16">
                  <c:v>12.099227708869646</c:v>
                </c:pt>
                <c:pt idx="17">
                  <c:v>11.976187308766795</c:v>
                </c:pt>
                <c:pt idx="18">
                  <c:v>13.121998078770414</c:v>
                </c:pt>
                <c:pt idx="19">
                  <c:v>10.06338028169014</c:v>
                </c:pt>
                <c:pt idx="20">
                  <c:v>9.7628304821150849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B-4942-983F-57141A1CE6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5193896"/>
        <c:axId val="195195648"/>
      </c:barChart>
      <c:dateAx>
        <c:axId val="195193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5648"/>
        <c:crosses val="autoZero"/>
        <c:auto val="1"/>
        <c:lblOffset val="100"/>
        <c:baseTimeUnit val="days"/>
      </c:dateAx>
      <c:valAx>
        <c:axId val="19519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95193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2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'May-2026 Report'!$B$26</c:f>
              <c:strCache>
                <c:ptCount val="1"/>
                <c:pt idx="0">
                  <c:v>Rejection %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'May-2026 Report'!$H$2:$AL$2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'May-2026 Report'!$H$26:$AL$26</c:f>
              <c:numCache>
                <c:formatCode>0.00</c:formatCode>
                <c:ptCount val="31"/>
                <c:pt idx="0">
                  <c:v>0</c:v>
                </c:pt>
                <c:pt idx="1">
                  <c:v>2.2418249241487809</c:v>
                </c:pt>
                <c:pt idx="2">
                  <c:v>0.5407303370786517</c:v>
                </c:pt>
                <c:pt idx="3">
                  <c:v>0.83066808813077475</c:v>
                </c:pt>
                <c:pt idx="4">
                  <c:v>0.6608526082010725</c:v>
                </c:pt>
                <c:pt idx="5">
                  <c:v>0.5289024104844372</c:v>
                </c:pt>
                <c:pt idx="6">
                  <c:v>0.35253425568710922</c:v>
                </c:pt>
                <c:pt idx="7">
                  <c:v>0.40666026256804355</c:v>
                </c:pt>
                <c:pt idx="8">
                  <c:v>0.27464788732394368</c:v>
                </c:pt>
                <c:pt idx="9">
                  <c:v>0.90590979782270609</c:v>
                </c:pt>
                <c:pt idx="10">
                  <c:v>0.51840525118412717</c:v>
                </c:pt>
                <c:pt idx="11">
                  <c:v>0.65540540540540537</c:v>
                </c:pt>
                <c:pt idx="12">
                  <c:v>2.2418249241487809</c:v>
                </c:pt>
                <c:pt idx="13">
                  <c:v>0.5407303370786517</c:v>
                </c:pt>
                <c:pt idx="14">
                  <c:v>0.83066808813077475</c:v>
                </c:pt>
                <c:pt idx="15">
                  <c:v>0.6608526082010725</c:v>
                </c:pt>
                <c:pt idx="16">
                  <c:v>0.5289024104844372</c:v>
                </c:pt>
                <c:pt idx="17">
                  <c:v>0.35253425568710922</c:v>
                </c:pt>
                <c:pt idx="18">
                  <c:v>0.40666026256804355</c:v>
                </c:pt>
                <c:pt idx="19">
                  <c:v>0.27464788732394368</c:v>
                </c:pt>
                <c:pt idx="20">
                  <c:v>0.90590979782270609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A-46B8-8E35-C9076D2962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17554416"/>
        <c:axId val="417560688"/>
      </c:barChart>
      <c:dateAx>
        <c:axId val="417554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60688"/>
        <c:crosses val="autoZero"/>
        <c:auto val="1"/>
        <c:lblOffset val="100"/>
        <c:baseTimeUnit val="days"/>
      </c:dateAx>
      <c:valAx>
        <c:axId val="4175606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41755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2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326230</xdr:colOff>
      <xdr:row>11</xdr:row>
      <xdr:rowOff>647699</xdr:rowOff>
    </xdr:from>
    <xdr:to>
      <xdr:col>84</xdr:col>
      <xdr:colOff>123825</xdr:colOff>
      <xdr:row>24</xdr:row>
      <xdr:rowOff>147636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50360-D9CE-476B-B8D5-8AD555537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80962</xdr:colOff>
      <xdr:row>27</xdr:row>
      <xdr:rowOff>52388</xdr:rowOff>
    </xdr:from>
    <xdr:to>
      <xdr:col>30</xdr:col>
      <xdr:colOff>566737</xdr:colOff>
      <xdr:row>37</xdr:row>
      <xdr:rowOff>242888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E1767-7D25-4029-A875-264A18D42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1371600</xdr:colOff>
      <xdr:row>41</xdr:row>
      <xdr:rowOff>419100</xdr:rowOff>
    </xdr:from>
    <xdr:to>
      <xdr:col>38</xdr:col>
      <xdr:colOff>952500</xdr:colOff>
      <xdr:row>80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1EE40D-7BF7-4E87-9850-22C4DCC9B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A524-82F4-446F-911B-75385E5E8C7D}">
  <sheetPr>
    <pageSetUpPr fitToPage="1"/>
  </sheetPr>
  <dimension ref="A1:FS44"/>
  <sheetViews>
    <sheetView tabSelected="1" topLeftCell="B23" zoomScale="40" zoomScaleNormal="40" zoomScaleSheetLayoutView="40" workbookViewId="0">
      <pane xSplit="1" topLeftCell="S1" activePane="topRight" state="frozen"/>
      <selection activeCell="B1" sqref="B1"/>
      <selection pane="topRight" activeCell="AC8" sqref="AC8"/>
    </sheetView>
  </sheetViews>
  <sheetFormatPr defaultRowHeight="15" x14ac:dyDescent="0.25"/>
  <cols>
    <col min="1" max="1" width="0" hidden="1" customWidth="1"/>
    <col min="2" max="2" width="72" customWidth="1"/>
    <col min="3" max="3" width="51.5703125" customWidth="1"/>
    <col min="4" max="6" width="43.42578125" customWidth="1"/>
    <col min="7" max="7" width="51.5703125" customWidth="1"/>
    <col min="8" max="8" width="35.85546875" customWidth="1"/>
    <col min="9" max="9" width="36.5703125" customWidth="1"/>
    <col min="10" max="10" width="33.85546875" customWidth="1"/>
    <col min="11" max="11" width="32.42578125" customWidth="1"/>
    <col min="12" max="15" width="28.42578125" customWidth="1"/>
    <col min="16" max="17" width="31" customWidth="1"/>
    <col min="18" max="18" width="66.7109375" customWidth="1"/>
    <col min="19" max="19" width="32.7109375" customWidth="1"/>
    <col min="20" max="20" width="30.7109375" customWidth="1"/>
    <col min="21" max="22" width="31.7109375" customWidth="1"/>
    <col min="23" max="23" width="27.28515625" customWidth="1"/>
    <col min="24" max="24" width="29.42578125" customWidth="1"/>
    <col min="25" max="25" width="25.42578125" customWidth="1"/>
    <col min="26" max="26" width="31.140625" customWidth="1"/>
    <col min="27" max="27" width="36.140625" customWidth="1"/>
    <col min="28" max="28" width="29" style="16" customWidth="1"/>
    <col min="29" max="29" width="32.85546875" style="16" customWidth="1"/>
    <col min="30" max="30" width="28.140625" style="16" customWidth="1"/>
    <col min="31" max="31" width="33.42578125" customWidth="1"/>
    <col min="32" max="32" width="41.28515625" customWidth="1"/>
    <col min="33" max="33" width="33.28515625" customWidth="1"/>
    <col min="34" max="34" width="20.7109375" customWidth="1"/>
    <col min="35" max="35" width="30" bestFit="1" customWidth="1"/>
    <col min="36" max="36" width="16.5703125" customWidth="1"/>
    <col min="37" max="37" width="20.5703125" customWidth="1"/>
    <col min="38" max="38" width="21.7109375" customWidth="1"/>
    <col min="39" max="39" width="46.140625" customWidth="1"/>
    <col min="40" max="40" width="52.85546875" style="16" customWidth="1"/>
    <col min="41" max="41" width="52.140625" style="27" customWidth="1"/>
    <col min="45" max="45" width="18" bestFit="1" customWidth="1"/>
  </cols>
  <sheetData>
    <row r="1" spans="2:175" ht="124.5" customHeight="1" x14ac:dyDescent="0.25">
      <c r="B1" s="1"/>
      <c r="C1" s="2"/>
      <c r="D1" s="2"/>
      <c r="E1" s="2"/>
      <c r="F1" s="2"/>
      <c r="G1" s="2"/>
      <c r="H1" s="75" t="s">
        <v>0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3"/>
      <c r="Z1" s="3"/>
      <c r="AA1" s="3"/>
      <c r="AB1" s="4"/>
      <c r="AC1" s="4"/>
      <c r="AD1" s="4"/>
      <c r="AE1" s="3"/>
      <c r="AF1" s="3"/>
      <c r="AG1" s="3"/>
      <c r="AH1" s="2"/>
      <c r="AI1" s="2"/>
      <c r="AJ1" s="76" t="s">
        <v>1</v>
      </c>
      <c r="AK1" s="76"/>
      <c r="AL1" s="76"/>
      <c r="AM1" s="76"/>
      <c r="AN1" s="5"/>
      <c r="AO1" s="5"/>
    </row>
    <row r="2" spans="2:175" s="12" customFormat="1" ht="73.5" customHeight="1" x14ac:dyDescent="0.45">
      <c r="B2" s="6" t="s">
        <v>2</v>
      </c>
      <c r="C2" s="7" t="s">
        <v>3</v>
      </c>
      <c r="D2" s="8" t="s">
        <v>4</v>
      </c>
      <c r="E2" s="6" t="s">
        <v>5</v>
      </c>
      <c r="F2" s="9" t="s">
        <v>6</v>
      </c>
      <c r="G2" s="7" t="s">
        <v>7</v>
      </c>
      <c r="H2" s="10">
        <v>46143</v>
      </c>
      <c r="I2" s="10">
        <v>46144</v>
      </c>
      <c r="J2" s="10">
        <v>46145</v>
      </c>
      <c r="K2" s="10">
        <v>46146</v>
      </c>
      <c r="L2" s="10">
        <v>46147</v>
      </c>
      <c r="M2" s="10">
        <v>46148</v>
      </c>
      <c r="N2" s="10">
        <v>46149</v>
      </c>
      <c r="O2" s="10">
        <v>46150</v>
      </c>
      <c r="P2" s="10">
        <v>46151</v>
      </c>
      <c r="Q2" s="10">
        <v>46152</v>
      </c>
      <c r="R2" s="10">
        <v>46153</v>
      </c>
      <c r="S2" s="10">
        <v>46154</v>
      </c>
      <c r="T2" s="10">
        <v>46155</v>
      </c>
      <c r="U2" s="10">
        <v>46156</v>
      </c>
      <c r="V2" s="10">
        <v>46157</v>
      </c>
      <c r="W2" s="10">
        <v>46158</v>
      </c>
      <c r="X2" s="10">
        <v>46159</v>
      </c>
      <c r="Y2" s="10">
        <v>46160</v>
      </c>
      <c r="Z2" s="10">
        <v>46161</v>
      </c>
      <c r="AA2" s="10">
        <v>46162</v>
      </c>
      <c r="AB2" s="10">
        <v>46163</v>
      </c>
      <c r="AC2" s="10">
        <v>46164</v>
      </c>
      <c r="AD2" s="10">
        <v>46165</v>
      </c>
      <c r="AE2" s="10">
        <v>46166</v>
      </c>
      <c r="AF2" s="10">
        <v>46167</v>
      </c>
      <c r="AG2" s="10">
        <v>46168</v>
      </c>
      <c r="AH2" s="10">
        <v>46169</v>
      </c>
      <c r="AI2" s="10">
        <v>46170</v>
      </c>
      <c r="AJ2" s="10">
        <v>46171</v>
      </c>
      <c r="AK2" s="10">
        <v>46172</v>
      </c>
      <c r="AL2" s="10">
        <v>46173</v>
      </c>
      <c r="AM2" s="11" t="s">
        <v>8</v>
      </c>
    </row>
    <row r="3" spans="2:175" s="16" customFormat="1" ht="128.25" customHeight="1" x14ac:dyDescent="0.35">
      <c r="B3" s="6" t="s">
        <v>9</v>
      </c>
      <c r="C3" s="13"/>
      <c r="D3" s="14"/>
      <c r="E3" s="15"/>
      <c r="F3" s="14"/>
      <c r="G3" s="13"/>
      <c r="H3" s="6" t="s">
        <v>10</v>
      </c>
      <c r="I3" s="6" t="s">
        <v>10</v>
      </c>
      <c r="J3" s="6" t="s">
        <v>10</v>
      </c>
      <c r="K3" s="6" t="s">
        <v>10</v>
      </c>
      <c r="L3" s="6" t="s">
        <v>10</v>
      </c>
      <c r="M3" s="6" t="s">
        <v>10</v>
      </c>
      <c r="N3" s="6" t="s">
        <v>10</v>
      </c>
      <c r="O3" s="6" t="s">
        <v>10</v>
      </c>
      <c r="P3" s="6" t="s">
        <v>10</v>
      </c>
      <c r="Q3" s="6" t="s">
        <v>10</v>
      </c>
      <c r="R3" s="6" t="s">
        <v>10</v>
      </c>
      <c r="S3" s="6" t="s">
        <v>10</v>
      </c>
      <c r="T3" s="6" t="s">
        <v>10</v>
      </c>
      <c r="U3" s="6" t="s">
        <v>10</v>
      </c>
      <c r="V3" s="6" t="s">
        <v>10</v>
      </c>
      <c r="W3" s="6" t="s">
        <v>10</v>
      </c>
      <c r="X3" s="6" t="s">
        <v>10</v>
      </c>
      <c r="Y3" s="6" t="s">
        <v>10</v>
      </c>
      <c r="Z3" s="6" t="s">
        <v>10</v>
      </c>
      <c r="AA3" s="6" t="s">
        <v>10</v>
      </c>
      <c r="AB3" s="6" t="s">
        <v>10</v>
      </c>
      <c r="AC3" s="6" t="s">
        <v>10</v>
      </c>
      <c r="AD3" s="6" t="s">
        <v>10</v>
      </c>
      <c r="AE3" s="6" t="s">
        <v>10</v>
      </c>
      <c r="AF3" s="6" t="s">
        <v>10</v>
      </c>
      <c r="AG3" s="6" t="s">
        <v>10</v>
      </c>
      <c r="AH3" s="6" t="s">
        <v>10</v>
      </c>
      <c r="AI3" s="6" t="s">
        <v>10</v>
      </c>
      <c r="AJ3" s="6" t="s">
        <v>10</v>
      </c>
      <c r="AK3" s="6"/>
      <c r="AL3" s="6" t="s">
        <v>10</v>
      </c>
      <c r="AM3" s="6" t="s">
        <v>11</v>
      </c>
    </row>
    <row r="4" spans="2:175" s="16" customFormat="1" ht="128.25" customHeight="1" x14ac:dyDescent="0.35">
      <c r="B4" s="17" t="s">
        <v>12</v>
      </c>
      <c r="C4" s="18"/>
      <c r="D4" s="14"/>
      <c r="E4" s="15"/>
      <c r="F4" s="14"/>
      <c r="G4" s="13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2:175" ht="128.25" customHeight="1" x14ac:dyDescent="0.25">
      <c r="B5" s="19" t="s">
        <v>13</v>
      </c>
      <c r="C5" s="20">
        <f t="shared" ref="C5:C21" si="0">G5/26</f>
        <v>604.69230769230774</v>
      </c>
      <c r="D5" s="21">
        <f>AM5/AM22*100</f>
        <v>1.396017286126338</v>
      </c>
      <c r="E5" s="22">
        <v>1.74</v>
      </c>
      <c r="F5" s="23">
        <f>SUM(H5:AL5)</f>
        <v>6955</v>
      </c>
      <c r="G5" s="24">
        <v>15722</v>
      </c>
      <c r="H5" s="25"/>
      <c r="I5" s="25">
        <f>75+42+82</f>
        <v>199</v>
      </c>
      <c r="J5" s="25">
        <f>80+104+80+70+66</f>
        <v>400</v>
      </c>
      <c r="K5" s="25">
        <f>104+145+91</f>
        <v>340</v>
      </c>
      <c r="L5" s="25">
        <f>43+80+130+105</f>
        <v>358</v>
      </c>
      <c r="M5" s="25">
        <f>116+80+84+87</f>
        <v>367</v>
      </c>
      <c r="N5" s="25">
        <f>56+87+40+188</f>
        <v>371</v>
      </c>
      <c r="O5" s="25">
        <f>251+177+83+134</f>
        <v>645</v>
      </c>
      <c r="P5" s="25">
        <f>122+54</f>
        <v>176</v>
      </c>
      <c r="Q5" s="25">
        <f>96+65+74+130</f>
        <v>365</v>
      </c>
      <c r="R5" s="25">
        <v>333</v>
      </c>
      <c r="S5" s="25">
        <v>180</v>
      </c>
      <c r="T5" s="25">
        <f>75+42+82</f>
        <v>199</v>
      </c>
      <c r="U5" s="25">
        <f>80+104+80+70+66</f>
        <v>400</v>
      </c>
      <c r="V5" s="25">
        <f>104+145+91</f>
        <v>340</v>
      </c>
      <c r="W5" s="25">
        <f>43+80+130+105</f>
        <v>358</v>
      </c>
      <c r="X5" s="25">
        <f>116+80+84+87</f>
        <v>367</v>
      </c>
      <c r="Y5" s="25">
        <f>56+87+40+188</f>
        <v>371</v>
      </c>
      <c r="Z5" s="25">
        <f>251+177+83+134</f>
        <v>645</v>
      </c>
      <c r="AA5" s="25">
        <f>122+54</f>
        <v>176</v>
      </c>
      <c r="AB5" s="25">
        <f>96+65+74+130</f>
        <v>365</v>
      </c>
      <c r="AC5" s="26"/>
      <c r="AD5" s="26"/>
      <c r="AE5" s="25"/>
      <c r="AF5" s="25"/>
      <c r="AG5" s="25"/>
      <c r="AH5" s="25"/>
      <c r="AI5" s="25"/>
      <c r="AJ5" s="25"/>
      <c r="AK5" s="25"/>
      <c r="AL5" s="25"/>
      <c r="AM5" s="25">
        <f>SUM(H5:AL5)</f>
        <v>6955</v>
      </c>
    </row>
    <row r="6" spans="2:175" s="31" customFormat="1" ht="128.25" customHeight="1" x14ac:dyDescent="0.25">
      <c r="B6" s="28" t="s">
        <v>14</v>
      </c>
      <c r="C6" s="20">
        <f t="shared" si="0"/>
        <v>0</v>
      </c>
      <c r="D6" s="21">
        <f>AM6/AM23*100</f>
        <v>0</v>
      </c>
      <c r="E6" s="22">
        <v>0</v>
      </c>
      <c r="F6" s="23">
        <f t="shared" ref="F6:F22" si="1">SUM(H6:AL6)</f>
        <v>0</v>
      </c>
      <c r="G6" s="24">
        <v>0</v>
      </c>
      <c r="H6" s="29"/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30">
        <f>SUM(H6:AL6)</f>
        <v>0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</row>
    <row r="7" spans="2:175" ht="128.25" customHeight="1" x14ac:dyDescent="0.25">
      <c r="B7" s="32" t="s">
        <v>15</v>
      </c>
      <c r="C7" s="20">
        <f t="shared" si="0"/>
        <v>115.38461538461539</v>
      </c>
      <c r="D7" s="21">
        <f>AM7/AM24*100</f>
        <v>133.32075597926075</v>
      </c>
      <c r="E7" s="22">
        <v>0.33</v>
      </c>
      <c r="F7" s="23">
        <f t="shared" si="1"/>
        <v>16</v>
      </c>
      <c r="G7" s="24">
        <v>3000</v>
      </c>
      <c r="H7" s="33"/>
      <c r="I7" s="34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16</v>
      </c>
      <c r="S7" s="33">
        <v>0</v>
      </c>
      <c r="T7" s="34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4"/>
      <c r="AD7" s="34"/>
      <c r="AE7" s="33"/>
      <c r="AF7" s="33"/>
      <c r="AG7" s="33"/>
      <c r="AH7" s="33"/>
      <c r="AI7" s="33"/>
      <c r="AJ7" s="33"/>
      <c r="AK7" s="33"/>
      <c r="AL7" s="33"/>
      <c r="AM7" s="33">
        <f t="shared" ref="AM7:AM21" si="2">SUM(H7:AL7)</f>
        <v>16</v>
      </c>
    </row>
    <row r="8" spans="2:175" ht="128.25" customHeight="1" x14ac:dyDescent="0.25">
      <c r="B8" s="35" t="s">
        <v>16</v>
      </c>
      <c r="C8" s="20">
        <f t="shared" si="0"/>
        <v>176.61538461538461</v>
      </c>
      <c r="D8" s="21">
        <f>AM8/AM22*100</f>
        <v>1.7366414895133107</v>
      </c>
      <c r="E8" s="22">
        <v>0.51</v>
      </c>
      <c r="F8" s="23">
        <f t="shared" si="1"/>
        <v>8652</v>
      </c>
      <c r="G8" s="24">
        <v>4592</v>
      </c>
      <c r="H8" s="30"/>
      <c r="I8" s="30">
        <f>85+60</f>
        <v>145</v>
      </c>
      <c r="J8" s="30">
        <f>97+30+35+277+415</f>
        <v>854</v>
      </c>
      <c r="K8" s="30">
        <f>145+103</f>
        <v>248</v>
      </c>
      <c r="L8" s="30">
        <f>171+550+90</f>
        <v>811</v>
      </c>
      <c r="M8" s="30">
        <f>250+44+98</f>
        <v>392</v>
      </c>
      <c r="N8" s="30">
        <f>210+111+377</f>
        <v>698</v>
      </c>
      <c r="O8" s="30">
        <f>115+129+90+211</f>
        <v>545</v>
      </c>
      <c r="P8" s="36">
        <f>136+0</f>
        <v>136</v>
      </c>
      <c r="Q8" s="30">
        <f>158+87+70</f>
        <v>315</v>
      </c>
      <c r="R8" s="30">
        <v>218</v>
      </c>
      <c r="S8" s="36">
        <v>146</v>
      </c>
      <c r="T8" s="30">
        <f>85+60</f>
        <v>145</v>
      </c>
      <c r="U8" s="30">
        <f>97+30+35+277+415</f>
        <v>854</v>
      </c>
      <c r="V8" s="30">
        <f>145+103</f>
        <v>248</v>
      </c>
      <c r="W8" s="30">
        <f>171+550+90</f>
        <v>811</v>
      </c>
      <c r="X8" s="30">
        <f>250+44+98</f>
        <v>392</v>
      </c>
      <c r="Y8" s="30">
        <f>210+111+377</f>
        <v>698</v>
      </c>
      <c r="Z8" s="30">
        <f>115+129+90+211</f>
        <v>545</v>
      </c>
      <c r="AA8" s="36">
        <f>136+0</f>
        <v>136</v>
      </c>
      <c r="AB8" s="30">
        <f>158+87+70</f>
        <v>315</v>
      </c>
      <c r="AC8" s="38"/>
      <c r="AD8" s="38"/>
      <c r="AE8" s="30"/>
      <c r="AF8" s="30"/>
      <c r="AG8" s="30"/>
      <c r="AH8" s="30"/>
      <c r="AI8" s="30"/>
      <c r="AJ8" s="30"/>
      <c r="AK8" s="30"/>
      <c r="AL8" s="30"/>
      <c r="AM8" s="30">
        <f t="shared" si="2"/>
        <v>8652</v>
      </c>
    </row>
    <row r="9" spans="2:175" ht="128.25" customHeight="1" x14ac:dyDescent="0.25">
      <c r="B9" s="35" t="s">
        <v>17</v>
      </c>
      <c r="C9" s="20">
        <f t="shared" si="0"/>
        <v>202.57692307692307</v>
      </c>
      <c r="D9" s="21">
        <f>AM9/AM22*100</f>
        <v>0.29606405421083376</v>
      </c>
      <c r="E9" s="22">
        <v>0.35</v>
      </c>
      <c r="F9" s="23">
        <f t="shared" si="1"/>
        <v>1475</v>
      </c>
      <c r="G9" s="24">
        <v>5267</v>
      </c>
      <c r="H9" s="30"/>
      <c r="I9" s="38">
        <f>45+18</f>
        <v>63</v>
      </c>
      <c r="J9" s="30">
        <f>27+51+10+4+16</f>
        <v>108</v>
      </c>
      <c r="K9" s="30">
        <f>10+16+67</f>
        <v>93</v>
      </c>
      <c r="L9" s="30">
        <f>32+24+23+2</f>
        <v>81</v>
      </c>
      <c r="M9" s="30">
        <f>16+19+24</f>
        <v>59</v>
      </c>
      <c r="N9" s="30">
        <f>14+40+39</f>
        <v>93</v>
      </c>
      <c r="O9" s="30">
        <f>20+3+50+13</f>
        <v>86</v>
      </c>
      <c r="P9" s="30">
        <f>12+15</f>
        <v>27</v>
      </c>
      <c r="Q9" s="30">
        <f>2+7+59</f>
        <v>68</v>
      </c>
      <c r="R9" s="30">
        <v>93</v>
      </c>
      <c r="S9" s="30">
        <v>26</v>
      </c>
      <c r="T9" s="38">
        <f>45+18</f>
        <v>63</v>
      </c>
      <c r="U9" s="30">
        <f>27+51+10+4+16</f>
        <v>108</v>
      </c>
      <c r="V9" s="30">
        <f>10+16+67</f>
        <v>93</v>
      </c>
      <c r="W9" s="30">
        <f>32+24+23+2</f>
        <v>81</v>
      </c>
      <c r="X9" s="30">
        <f>16+19+24</f>
        <v>59</v>
      </c>
      <c r="Y9" s="30">
        <f>14+40+39</f>
        <v>93</v>
      </c>
      <c r="Z9" s="30">
        <f>20+3+50+13</f>
        <v>86</v>
      </c>
      <c r="AA9" s="30">
        <f>12+15</f>
        <v>27</v>
      </c>
      <c r="AB9" s="30">
        <f>2+7+59</f>
        <v>68</v>
      </c>
      <c r="AC9" s="38"/>
      <c r="AD9" s="38"/>
      <c r="AE9" s="30"/>
      <c r="AF9" s="30"/>
      <c r="AG9" s="30"/>
      <c r="AH9" s="30"/>
      <c r="AI9" s="30"/>
      <c r="AJ9" s="30"/>
      <c r="AK9" s="30"/>
      <c r="AL9" s="30"/>
      <c r="AM9" s="30">
        <f t="shared" si="2"/>
        <v>1475</v>
      </c>
    </row>
    <row r="10" spans="2:175" ht="128.25" customHeight="1" x14ac:dyDescent="0.25">
      <c r="B10" s="35" t="s">
        <v>18</v>
      </c>
      <c r="C10" s="20">
        <f t="shared" si="0"/>
        <v>303.5</v>
      </c>
      <c r="D10" s="21">
        <f>AM10/AM22*100</f>
        <v>0.18105069620215053</v>
      </c>
      <c r="E10" s="22">
        <v>0.88</v>
      </c>
      <c r="F10" s="23">
        <f t="shared" si="1"/>
        <v>902</v>
      </c>
      <c r="G10" s="24">
        <v>7891</v>
      </c>
      <c r="H10" s="30"/>
      <c r="I10" s="30">
        <v>0</v>
      </c>
      <c r="J10" s="30">
        <v>29</v>
      </c>
      <c r="K10" s="30">
        <v>0</v>
      </c>
      <c r="L10" s="30">
        <f>13+10+22</f>
        <v>45</v>
      </c>
      <c r="M10" s="30">
        <v>10</v>
      </c>
      <c r="N10" s="30">
        <f>27+8</f>
        <v>35</v>
      </c>
      <c r="O10" s="30">
        <f>16+138+31</f>
        <v>185</v>
      </c>
      <c r="P10" s="30">
        <v>5</v>
      </c>
      <c r="Q10" s="30">
        <v>94</v>
      </c>
      <c r="R10" s="30">
        <v>66</v>
      </c>
      <c r="S10" s="30">
        <v>30</v>
      </c>
      <c r="T10" s="30">
        <v>0</v>
      </c>
      <c r="U10" s="30">
        <v>29</v>
      </c>
      <c r="V10" s="30">
        <v>0</v>
      </c>
      <c r="W10" s="30">
        <f>13+10+22</f>
        <v>45</v>
      </c>
      <c r="X10" s="30">
        <v>10</v>
      </c>
      <c r="Y10" s="30">
        <f>27+8</f>
        <v>35</v>
      </c>
      <c r="Z10" s="30">
        <f>16+138+31</f>
        <v>185</v>
      </c>
      <c r="AA10" s="30">
        <v>5</v>
      </c>
      <c r="AB10" s="30">
        <v>94</v>
      </c>
      <c r="AC10" s="38"/>
      <c r="AD10" s="38"/>
      <c r="AE10" s="30"/>
      <c r="AF10" s="30"/>
      <c r="AG10" s="30"/>
      <c r="AH10" s="30"/>
      <c r="AI10" s="30"/>
      <c r="AJ10" s="30"/>
      <c r="AK10" s="30"/>
      <c r="AL10" s="30"/>
      <c r="AM10" s="30">
        <f t="shared" si="2"/>
        <v>902</v>
      </c>
    </row>
    <row r="11" spans="2:175" ht="128.25" customHeight="1" x14ac:dyDescent="0.25">
      <c r="B11" s="35" t="s">
        <v>19</v>
      </c>
      <c r="C11" s="20">
        <f t="shared" si="0"/>
        <v>203.5</v>
      </c>
      <c r="D11" s="21">
        <f>AM11/AM22*100</f>
        <v>5.8729072285795141</v>
      </c>
      <c r="E11" s="22">
        <v>0.59</v>
      </c>
      <c r="F11" s="23">
        <f t="shared" si="1"/>
        <v>29259</v>
      </c>
      <c r="G11" s="39">
        <v>5291</v>
      </c>
      <c r="H11" s="30"/>
      <c r="I11" s="30">
        <f>210+400+215</f>
        <v>825</v>
      </c>
      <c r="J11" s="30">
        <f>585+350+1000+800+180</f>
        <v>2915</v>
      </c>
      <c r="K11" s="30">
        <f>285+385+540</f>
        <v>1210</v>
      </c>
      <c r="L11" s="30">
        <f>142+60+500+600</f>
        <v>1302</v>
      </c>
      <c r="M11" s="30">
        <f>742+69+205+131</f>
        <v>1147</v>
      </c>
      <c r="N11" s="30">
        <f>232+355+700+231</f>
        <v>1518</v>
      </c>
      <c r="O11" s="30">
        <f>180+550+650+858</f>
        <v>2238</v>
      </c>
      <c r="P11" s="30">
        <f>500+486</f>
        <v>986</v>
      </c>
      <c r="Q11" s="30">
        <f>300+350+139+490</f>
        <v>1279</v>
      </c>
      <c r="R11" s="30">
        <v>1799</v>
      </c>
      <c r="S11" s="30">
        <v>620</v>
      </c>
      <c r="T11" s="30">
        <f>210+400+215</f>
        <v>825</v>
      </c>
      <c r="U11" s="30">
        <f>585+350+1000+800+180</f>
        <v>2915</v>
      </c>
      <c r="V11" s="30">
        <f>285+385+540</f>
        <v>1210</v>
      </c>
      <c r="W11" s="30">
        <f>142+60+500+600</f>
        <v>1302</v>
      </c>
      <c r="X11" s="30">
        <f>742+69+205+131</f>
        <v>1147</v>
      </c>
      <c r="Y11" s="30">
        <f>232+355+700+231</f>
        <v>1518</v>
      </c>
      <c r="Z11" s="30">
        <f>180+550+650+858</f>
        <v>2238</v>
      </c>
      <c r="AA11" s="30">
        <f>500+486</f>
        <v>986</v>
      </c>
      <c r="AB11" s="30">
        <f>300+350+139+490</f>
        <v>1279</v>
      </c>
      <c r="AC11" s="38"/>
      <c r="AD11" s="38"/>
      <c r="AE11" s="30"/>
      <c r="AF11" s="30"/>
      <c r="AG11" s="30"/>
      <c r="AH11" s="30"/>
      <c r="AI11" s="30"/>
      <c r="AJ11" s="30"/>
      <c r="AK11" s="30"/>
      <c r="AL11" s="30"/>
      <c r="AM11" s="30">
        <f t="shared" si="2"/>
        <v>29259</v>
      </c>
    </row>
    <row r="12" spans="2:175" ht="128.25" customHeight="1" x14ac:dyDescent="0.25">
      <c r="B12" s="40" t="s">
        <v>20</v>
      </c>
      <c r="C12" s="20">
        <f t="shared" si="0"/>
        <v>200.53846153846155</v>
      </c>
      <c r="D12" s="21">
        <f>AM12/AM22*100</f>
        <v>0.86852146614934067</v>
      </c>
      <c r="E12" s="22">
        <v>0.57999999999999996</v>
      </c>
      <c r="F12" s="23">
        <f t="shared" si="1"/>
        <v>4327</v>
      </c>
      <c r="G12" s="39">
        <v>5214</v>
      </c>
      <c r="H12" s="30"/>
      <c r="I12" s="30">
        <f>100+55</f>
        <v>155</v>
      </c>
      <c r="J12" s="30">
        <f>300+241</f>
        <v>541</v>
      </c>
      <c r="K12" s="30">
        <f>69+0</f>
        <v>69</v>
      </c>
      <c r="L12" s="30">
        <v>60</v>
      </c>
      <c r="M12" s="30">
        <f>100+41</f>
        <v>141</v>
      </c>
      <c r="N12" s="30">
        <f>137+89+100</f>
        <v>326</v>
      </c>
      <c r="O12" s="30">
        <f>100+200</f>
        <v>300</v>
      </c>
      <c r="P12" s="30">
        <v>0</v>
      </c>
      <c r="Q12" s="30">
        <v>200</v>
      </c>
      <c r="R12" s="30">
        <v>743</v>
      </c>
      <c r="S12" s="30">
        <v>0</v>
      </c>
      <c r="T12" s="30">
        <f>100+55</f>
        <v>155</v>
      </c>
      <c r="U12" s="30">
        <f>300+241</f>
        <v>541</v>
      </c>
      <c r="V12" s="30">
        <f>69+0</f>
        <v>69</v>
      </c>
      <c r="W12" s="30">
        <v>60</v>
      </c>
      <c r="X12" s="30">
        <f>100+41</f>
        <v>141</v>
      </c>
      <c r="Y12" s="30">
        <f>137+89+100</f>
        <v>326</v>
      </c>
      <c r="Z12" s="30">
        <f>100+200</f>
        <v>300</v>
      </c>
      <c r="AA12" s="30">
        <v>0</v>
      </c>
      <c r="AB12" s="30">
        <v>200</v>
      </c>
      <c r="AC12" s="38"/>
      <c r="AD12" s="38"/>
      <c r="AE12" s="30"/>
      <c r="AF12" s="30"/>
      <c r="AG12" s="30"/>
      <c r="AH12" s="41"/>
      <c r="AI12" s="41"/>
      <c r="AJ12" s="41"/>
      <c r="AK12" s="41"/>
      <c r="AL12" s="41"/>
      <c r="AM12" s="41">
        <f t="shared" si="2"/>
        <v>4327</v>
      </c>
    </row>
    <row r="13" spans="2:175" ht="128.25" customHeight="1" x14ac:dyDescent="0.25">
      <c r="B13" s="35" t="s">
        <v>21</v>
      </c>
      <c r="C13" s="20">
        <f t="shared" si="0"/>
        <v>124.92307692307692</v>
      </c>
      <c r="D13" s="21">
        <f>AM13/AM22*100</f>
        <v>1.2727743510175571</v>
      </c>
      <c r="E13" s="22">
        <v>0.36</v>
      </c>
      <c r="F13" s="23">
        <f t="shared" si="1"/>
        <v>6341</v>
      </c>
      <c r="G13" s="39">
        <v>3248</v>
      </c>
      <c r="H13" s="30"/>
      <c r="I13" s="30">
        <f>45+17+27</f>
        <v>89</v>
      </c>
      <c r="J13" s="30">
        <f>80+54+60+30+17</f>
        <v>241</v>
      </c>
      <c r="K13" s="30">
        <f>43+10+345</f>
        <v>398</v>
      </c>
      <c r="L13" s="30">
        <f>191+45+41</f>
        <v>277</v>
      </c>
      <c r="M13" s="30">
        <f>0+286+201+39+30</f>
        <v>556</v>
      </c>
      <c r="N13" s="30">
        <f>464+149+56+60</f>
        <v>729</v>
      </c>
      <c r="O13" s="30">
        <f>249+63+40</f>
        <v>352</v>
      </c>
      <c r="P13" s="30">
        <f>26+40</f>
        <v>66</v>
      </c>
      <c r="Q13" s="30">
        <f>30+25+40+239</f>
        <v>334</v>
      </c>
      <c r="R13" s="30">
        <v>155</v>
      </c>
      <c r="S13" s="30">
        <v>102</v>
      </c>
      <c r="T13" s="30">
        <f>45+17+27</f>
        <v>89</v>
      </c>
      <c r="U13" s="30">
        <f>80+54+60+30+17</f>
        <v>241</v>
      </c>
      <c r="V13" s="30">
        <f>43+10+345</f>
        <v>398</v>
      </c>
      <c r="W13" s="30">
        <f>191+45+41</f>
        <v>277</v>
      </c>
      <c r="X13" s="30">
        <f>0+286+201+39+30</f>
        <v>556</v>
      </c>
      <c r="Y13" s="30">
        <f>464+149+56+60</f>
        <v>729</v>
      </c>
      <c r="Z13" s="30">
        <f>249+63+40</f>
        <v>352</v>
      </c>
      <c r="AA13" s="30">
        <f>26+40</f>
        <v>66</v>
      </c>
      <c r="AB13" s="30">
        <f>30+25+40+239</f>
        <v>334</v>
      </c>
      <c r="AC13" s="38"/>
      <c r="AD13" s="38"/>
      <c r="AE13" s="30"/>
      <c r="AF13" s="30"/>
      <c r="AG13" s="30"/>
      <c r="AH13" s="30"/>
      <c r="AI13" s="30"/>
      <c r="AJ13" s="30"/>
      <c r="AK13" s="30"/>
      <c r="AL13" s="30"/>
      <c r="AM13" s="30">
        <f t="shared" si="2"/>
        <v>6341</v>
      </c>
    </row>
    <row r="14" spans="2:175" ht="128.25" customHeight="1" x14ac:dyDescent="0.25">
      <c r="B14" s="35" t="s">
        <v>22</v>
      </c>
      <c r="C14" s="20">
        <f t="shared" si="0"/>
        <v>0</v>
      </c>
      <c r="D14" s="21"/>
      <c r="E14" s="22"/>
      <c r="F14" s="23">
        <f t="shared" si="1"/>
        <v>704</v>
      </c>
      <c r="G14" s="39"/>
      <c r="H14" s="30"/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f>40+63+249</f>
        <v>352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f>40+63+249</f>
        <v>352</v>
      </c>
      <c r="AA14" s="30">
        <v>0</v>
      </c>
      <c r="AB14" s="30">
        <v>0</v>
      </c>
      <c r="AC14" s="38"/>
      <c r="AD14" s="38"/>
      <c r="AE14" s="30"/>
      <c r="AF14" s="30"/>
      <c r="AG14" s="30"/>
      <c r="AH14" s="30"/>
      <c r="AI14" s="30"/>
      <c r="AJ14" s="30"/>
      <c r="AK14" s="30"/>
      <c r="AL14" s="30"/>
      <c r="AM14" s="30">
        <f t="shared" si="2"/>
        <v>704</v>
      </c>
    </row>
    <row r="15" spans="2:175" ht="128.25" customHeight="1" x14ac:dyDescent="0.25">
      <c r="B15" s="28" t="s">
        <v>23</v>
      </c>
      <c r="C15" s="20">
        <f t="shared" si="0"/>
        <v>57.269230769230766</v>
      </c>
      <c r="D15" s="21">
        <f>AM15/AM22*100</f>
        <v>0.37394395457273444</v>
      </c>
      <c r="E15" s="22">
        <v>0.17</v>
      </c>
      <c r="F15" s="23">
        <f t="shared" si="1"/>
        <v>1863</v>
      </c>
      <c r="G15" s="39">
        <v>1489</v>
      </c>
      <c r="H15" s="30"/>
      <c r="I15" s="30">
        <f>28+13+80</f>
        <v>121</v>
      </c>
      <c r="J15" s="30">
        <f>10+30+100+25</f>
        <v>165</v>
      </c>
      <c r="K15" s="30">
        <f>55+11+31</f>
        <v>97</v>
      </c>
      <c r="L15" s="30">
        <f>25+73+27</f>
        <v>125</v>
      </c>
      <c r="M15" s="30">
        <f>5+23+26</f>
        <v>54</v>
      </c>
      <c r="N15" s="30">
        <f>103+4+50</f>
        <v>157</v>
      </c>
      <c r="O15" s="30">
        <f>20+27</f>
        <v>47</v>
      </c>
      <c r="P15" s="30">
        <f>10+23</f>
        <v>33</v>
      </c>
      <c r="Q15" s="30">
        <f>16+20+20</f>
        <v>56</v>
      </c>
      <c r="R15" s="30">
        <v>72</v>
      </c>
      <c r="S15" s="30">
        <v>81</v>
      </c>
      <c r="T15" s="30">
        <f>28+13+80</f>
        <v>121</v>
      </c>
      <c r="U15" s="30">
        <f>10+30+100+25</f>
        <v>165</v>
      </c>
      <c r="V15" s="30">
        <f>55+11+31</f>
        <v>97</v>
      </c>
      <c r="W15" s="30">
        <f>25+73+27</f>
        <v>125</v>
      </c>
      <c r="X15" s="30">
        <f>5+23+26</f>
        <v>54</v>
      </c>
      <c r="Y15" s="30">
        <f>103+4+50</f>
        <v>157</v>
      </c>
      <c r="Z15" s="30">
        <f>20+27</f>
        <v>47</v>
      </c>
      <c r="AA15" s="30">
        <f>10+23</f>
        <v>33</v>
      </c>
      <c r="AB15" s="30">
        <f>16+20+20</f>
        <v>56</v>
      </c>
      <c r="AC15" s="38"/>
      <c r="AD15" s="38"/>
      <c r="AE15" s="30"/>
      <c r="AF15" s="30"/>
      <c r="AG15" s="30"/>
      <c r="AH15" s="30"/>
      <c r="AI15" s="30"/>
      <c r="AJ15" s="30"/>
      <c r="AK15" s="30"/>
      <c r="AL15" s="30"/>
      <c r="AM15" s="30">
        <f t="shared" si="2"/>
        <v>1863</v>
      </c>
    </row>
    <row r="16" spans="2:175" ht="128.25" customHeight="1" x14ac:dyDescent="0.25">
      <c r="B16" s="42" t="s">
        <v>24</v>
      </c>
      <c r="C16" s="20">
        <f t="shared" si="0"/>
        <v>0.65384615384615385</v>
      </c>
      <c r="D16" s="21">
        <v>0</v>
      </c>
      <c r="E16" s="22">
        <v>0</v>
      </c>
      <c r="F16" s="23">
        <f t="shared" si="1"/>
        <v>0</v>
      </c>
      <c r="G16" s="39">
        <v>17</v>
      </c>
      <c r="H16" s="37"/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>
        <f t="shared" si="2"/>
        <v>0</v>
      </c>
    </row>
    <row r="17" spans="1:41" ht="128.25" customHeight="1" x14ac:dyDescent="0.25">
      <c r="B17" s="42" t="s">
        <v>25</v>
      </c>
      <c r="C17" s="20">
        <f t="shared" si="0"/>
        <v>5.1538461538461542</v>
      </c>
      <c r="D17" s="21">
        <f>AM17/AM22*100</f>
        <v>7.0252487439858855E-3</v>
      </c>
      <c r="E17" s="22">
        <v>0.01</v>
      </c>
      <c r="F17" s="23">
        <f t="shared" si="1"/>
        <v>35</v>
      </c>
      <c r="G17" s="39">
        <v>134</v>
      </c>
      <c r="H17" s="37"/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23</v>
      </c>
      <c r="S17" s="37">
        <v>12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43"/>
      <c r="AD17" s="43"/>
      <c r="AE17" s="37"/>
      <c r="AF17" s="37"/>
      <c r="AG17" s="37"/>
      <c r="AH17" s="37"/>
      <c r="AI17" s="37"/>
      <c r="AJ17" s="37"/>
      <c r="AK17" s="37"/>
      <c r="AL17" s="37"/>
      <c r="AM17" s="37">
        <f t="shared" si="2"/>
        <v>35</v>
      </c>
    </row>
    <row r="18" spans="1:41" ht="128.25" customHeight="1" x14ac:dyDescent="0.25">
      <c r="B18" s="42" t="s">
        <v>26</v>
      </c>
      <c r="C18" s="20">
        <f t="shared" si="0"/>
        <v>72</v>
      </c>
      <c r="D18" s="21">
        <f>AM18/AM22*100</f>
        <v>0.22942455183931049</v>
      </c>
      <c r="E18" s="22">
        <v>0.21</v>
      </c>
      <c r="F18" s="23">
        <f t="shared" si="1"/>
        <v>1143</v>
      </c>
      <c r="G18" s="39">
        <v>1872</v>
      </c>
      <c r="H18" s="37"/>
      <c r="I18" s="37">
        <f>20+19</f>
        <v>39</v>
      </c>
      <c r="J18" s="37">
        <f>13+26</f>
        <v>39</v>
      </c>
      <c r="K18" s="37">
        <f>28+2+26</f>
        <v>56</v>
      </c>
      <c r="L18" s="37">
        <f>73+36+15</f>
        <v>124</v>
      </c>
      <c r="M18" s="37">
        <f>6+26+26</f>
        <v>58</v>
      </c>
      <c r="N18" s="37">
        <f>48+22</f>
        <v>70</v>
      </c>
      <c r="O18" s="37">
        <f>16+20</f>
        <v>36</v>
      </c>
      <c r="P18" s="37">
        <f>28+11</f>
        <v>39</v>
      </c>
      <c r="Q18" s="37">
        <f>20+13</f>
        <v>33</v>
      </c>
      <c r="R18" s="37">
        <v>70</v>
      </c>
      <c r="S18" s="37">
        <v>85</v>
      </c>
      <c r="T18" s="37">
        <f>20+19</f>
        <v>39</v>
      </c>
      <c r="U18" s="37">
        <f>13+26</f>
        <v>39</v>
      </c>
      <c r="V18" s="37">
        <f>28+2+26</f>
        <v>56</v>
      </c>
      <c r="W18" s="37">
        <f>73+36+15</f>
        <v>124</v>
      </c>
      <c r="X18" s="37">
        <f>6+26+26</f>
        <v>58</v>
      </c>
      <c r="Y18" s="37">
        <f>48+22</f>
        <v>70</v>
      </c>
      <c r="Z18" s="37">
        <f>16+20</f>
        <v>36</v>
      </c>
      <c r="AA18" s="37">
        <f>28+11</f>
        <v>39</v>
      </c>
      <c r="AB18" s="37">
        <f>20+13</f>
        <v>33</v>
      </c>
      <c r="AC18" s="43"/>
      <c r="AD18" s="43"/>
      <c r="AE18" s="37"/>
      <c r="AF18" s="37"/>
      <c r="AG18" s="37"/>
      <c r="AH18" s="37"/>
      <c r="AI18" s="37"/>
      <c r="AJ18" s="37"/>
      <c r="AK18" s="37"/>
      <c r="AL18" s="37"/>
      <c r="AM18" s="37">
        <f t="shared" si="2"/>
        <v>1143</v>
      </c>
    </row>
    <row r="19" spans="1:41" ht="128.25" customHeight="1" x14ac:dyDescent="0.25">
      <c r="B19" s="42" t="s">
        <v>27</v>
      </c>
      <c r="C19" s="20">
        <f t="shared" si="0"/>
        <v>96.230769230769226</v>
      </c>
      <c r="D19" s="21">
        <f>AM19/AM22*100</f>
        <v>0.45403179025417351</v>
      </c>
      <c r="E19" s="22">
        <v>0.28000000000000003</v>
      </c>
      <c r="F19" s="23">
        <f t="shared" si="1"/>
        <v>2262</v>
      </c>
      <c r="G19" s="39">
        <v>2502</v>
      </c>
      <c r="H19" s="37"/>
      <c r="I19" s="37">
        <v>360</v>
      </c>
      <c r="J19" s="44">
        <f>30+85</f>
        <v>115</v>
      </c>
      <c r="K19" s="44">
        <f>101+25+5</f>
        <v>131</v>
      </c>
      <c r="L19" s="44">
        <f>70+50</f>
        <v>120</v>
      </c>
      <c r="M19" s="44">
        <v>55</v>
      </c>
      <c r="N19" s="44">
        <f>35+1</f>
        <v>36</v>
      </c>
      <c r="O19" s="44">
        <f>41+50</f>
        <v>91</v>
      </c>
      <c r="P19" s="37">
        <v>0</v>
      </c>
      <c r="Q19" s="37">
        <v>200</v>
      </c>
      <c r="R19" s="44">
        <v>46</v>
      </c>
      <c r="S19" s="37">
        <v>0</v>
      </c>
      <c r="T19" s="37">
        <v>360</v>
      </c>
      <c r="U19" s="44">
        <f>30+85</f>
        <v>115</v>
      </c>
      <c r="V19" s="44">
        <f>101+25+5</f>
        <v>131</v>
      </c>
      <c r="W19" s="44">
        <f>70+50</f>
        <v>120</v>
      </c>
      <c r="X19" s="44">
        <v>55</v>
      </c>
      <c r="Y19" s="44">
        <f>35+1</f>
        <v>36</v>
      </c>
      <c r="Z19" s="44">
        <f>41+50</f>
        <v>91</v>
      </c>
      <c r="AA19" s="37">
        <v>0</v>
      </c>
      <c r="AB19" s="37">
        <v>200</v>
      </c>
      <c r="AC19" s="43"/>
      <c r="AD19" s="43"/>
      <c r="AE19" s="37"/>
      <c r="AF19" s="37"/>
      <c r="AG19" s="37"/>
      <c r="AH19" s="37"/>
      <c r="AI19" s="37"/>
      <c r="AJ19" s="37"/>
      <c r="AK19" s="37"/>
      <c r="AL19" s="37"/>
      <c r="AM19" s="37">
        <f t="shared" si="2"/>
        <v>2262</v>
      </c>
    </row>
    <row r="20" spans="1:41" ht="128.25" customHeight="1" x14ac:dyDescent="0.25">
      <c r="B20" s="42" t="s">
        <v>28</v>
      </c>
      <c r="C20" s="20">
        <f t="shared" si="0"/>
        <v>7.6923076923076927E-2</v>
      </c>
      <c r="D20" s="21">
        <v>0</v>
      </c>
      <c r="E20" s="22">
        <v>0</v>
      </c>
      <c r="F20" s="23">
        <f t="shared" si="1"/>
        <v>0</v>
      </c>
      <c r="G20" s="39">
        <v>2</v>
      </c>
      <c r="H20" s="44"/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37">
        <f t="shared" si="2"/>
        <v>0</v>
      </c>
    </row>
    <row r="21" spans="1:41" ht="128.25" customHeight="1" x14ac:dyDescent="0.25">
      <c r="B21" s="42" t="s">
        <v>29</v>
      </c>
      <c r="C21" s="20">
        <f t="shared" si="0"/>
        <v>0.96153846153846156</v>
      </c>
      <c r="D21" s="21">
        <v>0</v>
      </c>
      <c r="E21" s="22">
        <v>0</v>
      </c>
      <c r="F21" s="23">
        <f t="shared" si="1"/>
        <v>0</v>
      </c>
      <c r="G21" s="39">
        <v>25</v>
      </c>
      <c r="H21" s="44"/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0</v>
      </c>
      <c r="AB21" s="44">
        <v>0</v>
      </c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37">
        <f t="shared" si="2"/>
        <v>0</v>
      </c>
    </row>
    <row r="22" spans="1:41" ht="128.25" customHeight="1" x14ac:dyDescent="0.25">
      <c r="B22" s="45" t="s">
        <v>30</v>
      </c>
      <c r="C22" s="46"/>
      <c r="D22" s="47">
        <f>D5+D6+D7+D8+D9+D10+D11+D12+D13+D15+D16+D17+D18+D19+D20+D21</f>
        <v>146.00915809647</v>
      </c>
      <c r="E22" s="22">
        <v>0.5</v>
      </c>
      <c r="F22" s="23">
        <f t="shared" si="1"/>
        <v>498203</v>
      </c>
      <c r="G22" s="46"/>
      <c r="H22" s="29"/>
      <c r="I22" s="29">
        <f>9688+3600+4510</f>
        <v>17798</v>
      </c>
      <c r="J22" s="29">
        <f>6245+5700+6500+6700+3335</f>
        <v>28480</v>
      </c>
      <c r="K22" s="29">
        <f>7300+4800+10412</f>
        <v>22512</v>
      </c>
      <c r="L22" s="29">
        <f>9410+7412+12200+7900</f>
        <v>36922</v>
      </c>
      <c r="M22" s="29">
        <f>6071+3300+6450+5544</f>
        <v>21365</v>
      </c>
      <c r="N22" s="29">
        <f>6900+6420+6280+10468</f>
        <v>30068</v>
      </c>
      <c r="O22" s="29">
        <f>5840+6780+10200+8410</f>
        <v>31230</v>
      </c>
      <c r="P22" s="48">
        <f>7000+7200</f>
        <v>14200</v>
      </c>
      <c r="Q22" s="48">
        <f>5600+7200+4620+8300</f>
        <v>25720</v>
      </c>
      <c r="R22" s="29">
        <v>26813</v>
      </c>
      <c r="S22" s="48">
        <v>14800</v>
      </c>
      <c r="T22" s="29">
        <f>9688+3600+4510</f>
        <v>17798</v>
      </c>
      <c r="U22" s="29">
        <f>6245+5700+6500+6700+3335</f>
        <v>28480</v>
      </c>
      <c r="V22" s="29">
        <f>7300+4800+10412</f>
        <v>22512</v>
      </c>
      <c r="W22" s="29">
        <f>9410+7412+12200+7900</f>
        <v>36922</v>
      </c>
      <c r="X22" s="29">
        <f>6071+3300+6450+5544</f>
        <v>21365</v>
      </c>
      <c r="Y22" s="29">
        <f>6900+6420+6280+10468</f>
        <v>30068</v>
      </c>
      <c r="Z22" s="29">
        <f>5840+6780+10200+8410</f>
        <v>31230</v>
      </c>
      <c r="AA22" s="48">
        <f>7000+7200</f>
        <v>14200</v>
      </c>
      <c r="AB22" s="48">
        <f>5600+7200+4620+8300</f>
        <v>25720</v>
      </c>
      <c r="AC22" s="49"/>
      <c r="AD22" s="49"/>
      <c r="AE22" s="48"/>
      <c r="AF22" s="48"/>
      <c r="AG22" s="48"/>
      <c r="AH22" s="29"/>
      <c r="AI22" s="29"/>
      <c r="AJ22" s="29"/>
      <c r="AK22" s="29"/>
      <c r="AL22" s="29"/>
      <c r="AM22" s="30">
        <f>SUM(H22:AL22)</f>
        <v>498203</v>
      </c>
    </row>
    <row r="23" spans="1:41" ht="128.25" customHeight="1" x14ac:dyDescent="0.25">
      <c r="A23" s="50"/>
      <c r="B23" s="51" t="s">
        <v>31</v>
      </c>
      <c r="C23" s="51"/>
      <c r="D23" s="51"/>
      <c r="E23" s="51"/>
      <c r="F23" s="51"/>
      <c r="G23" s="52"/>
      <c r="H23" s="52">
        <f>(+H15+H13+H11+H10+H9+H8+H5+H7+H6)</f>
        <v>0</v>
      </c>
      <c r="I23" s="52">
        <f>(+I15+I13+I11+I10+I9+I8+I5+I7+I6)</f>
        <v>1442</v>
      </c>
      <c r="J23" s="52">
        <f>(+J15+J13+J11+J10+J9+J8+J5+J7+J6)</f>
        <v>4712</v>
      </c>
      <c r="K23" s="52">
        <f t="shared" ref="K23:AI23" si="3">(+K15+K13+K11+K10+K9+K8+K5+K7+K6)</f>
        <v>2386</v>
      </c>
      <c r="L23" s="52">
        <f t="shared" si="3"/>
        <v>2999</v>
      </c>
      <c r="M23" s="52">
        <f t="shared" si="3"/>
        <v>2585</v>
      </c>
      <c r="N23" s="52">
        <f t="shared" si="3"/>
        <v>3601</v>
      </c>
      <c r="O23" s="52">
        <f t="shared" si="3"/>
        <v>4098</v>
      </c>
      <c r="P23" s="52">
        <f t="shared" si="3"/>
        <v>1429</v>
      </c>
      <c r="Q23" s="52">
        <f t="shared" si="3"/>
        <v>2511</v>
      </c>
      <c r="R23" s="52">
        <f t="shared" si="3"/>
        <v>2752</v>
      </c>
      <c r="S23" s="52">
        <f>(+S15+S13+S11+S10+S9+S8+S5+S7+S6)</f>
        <v>1185</v>
      </c>
      <c r="T23" s="52">
        <f>(+T15+T13+T11+T10+T9+T8+T5+T7+T6)</f>
        <v>1442</v>
      </c>
      <c r="U23" s="52">
        <f>(+U15+U13+U11+U10+U9+U8+U5+U7+U6)</f>
        <v>4712</v>
      </c>
      <c r="V23" s="52">
        <f t="shared" ref="V23:AB23" si="4">(+V15+V13+V11+V10+V9+V8+V5+V7+V6)</f>
        <v>2386</v>
      </c>
      <c r="W23" s="52">
        <f t="shared" si="4"/>
        <v>2999</v>
      </c>
      <c r="X23" s="52">
        <f t="shared" si="4"/>
        <v>2585</v>
      </c>
      <c r="Y23" s="52">
        <f t="shared" si="4"/>
        <v>3601</v>
      </c>
      <c r="Z23" s="52">
        <f t="shared" si="4"/>
        <v>4098</v>
      </c>
      <c r="AA23" s="52">
        <f t="shared" si="4"/>
        <v>1429</v>
      </c>
      <c r="AB23" s="52">
        <f t="shared" si="4"/>
        <v>2511</v>
      </c>
      <c r="AC23" s="52">
        <f t="shared" si="3"/>
        <v>0</v>
      </c>
      <c r="AD23" s="52">
        <f t="shared" si="3"/>
        <v>0</v>
      </c>
      <c r="AE23" s="52">
        <f>(+AE15+AE13+AE11+AE10+AE9+AE8+AE5+AE7+AE6)</f>
        <v>0</v>
      </c>
      <c r="AF23" s="52">
        <f>(+AF15+AF13+AF11+AF10+AF9+AF8+AF5+AF7+AF6)</f>
        <v>0</v>
      </c>
      <c r="AG23" s="52">
        <f t="shared" si="3"/>
        <v>0</v>
      </c>
      <c r="AH23" s="52">
        <f t="shared" si="3"/>
        <v>0</v>
      </c>
      <c r="AI23" s="52">
        <f t="shared" si="3"/>
        <v>0</v>
      </c>
      <c r="AJ23" s="52">
        <f>(+AJ15+AJ13+AJ11+AJ10+AJ9+AJ8+AJ5+AJ7+AJ6)</f>
        <v>0</v>
      </c>
      <c r="AK23" s="52">
        <f t="shared" ref="AK23:AL23" si="5">(+AK15+AK13+AK11+AK10+AK9+AK8+AK5+AK7+AK6)</f>
        <v>0</v>
      </c>
      <c r="AL23" s="52">
        <f t="shared" si="5"/>
        <v>0</v>
      </c>
      <c r="AM23" s="53">
        <f>(+AM15+AM13+AM11+AM12+AM10+AM9+AM8+AM5+AM7+AM6)</f>
        <v>59790</v>
      </c>
      <c r="AN23" s="54"/>
      <c r="AO23" s="55"/>
    </row>
    <row r="24" spans="1:41" ht="128.25" customHeight="1" x14ac:dyDescent="0.25">
      <c r="A24" s="50">
        <v>3.45</v>
      </c>
      <c r="B24" s="51" t="s">
        <v>32</v>
      </c>
      <c r="C24" s="51"/>
      <c r="D24" s="51"/>
      <c r="E24" s="56">
        <v>0.05</v>
      </c>
      <c r="F24" s="51"/>
      <c r="G24" s="52"/>
      <c r="H24" s="57" t="e">
        <f>+H23/H22*100</f>
        <v>#DIV/0!</v>
      </c>
      <c r="I24" s="57">
        <f t="shared" ref="I24:AL24" si="6">+I23/I22*100</f>
        <v>8.1020339363973495</v>
      </c>
      <c r="J24" s="57">
        <f t="shared" si="6"/>
        <v>16.54494382022472</v>
      </c>
      <c r="K24" s="57">
        <f t="shared" si="6"/>
        <v>10.598791755508174</v>
      </c>
      <c r="L24" s="57">
        <f>+L23/L22*100</f>
        <v>8.1225285737500688</v>
      </c>
      <c r="M24" s="57">
        <f t="shared" si="6"/>
        <v>12.099227708869646</v>
      </c>
      <c r="N24" s="57">
        <f t="shared" si="6"/>
        <v>11.976187308766795</v>
      </c>
      <c r="O24" s="57">
        <f t="shared" si="6"/>
        <v>13.121998078770414</v>
      </c>
      <c r="P24" s="57">
        <f t="shared" si="6"/>
        <v>10.06338028169014</v>
      </c>
      <c r="Q24" s="57">
        <f t="shared" si="6"/>
        <v>9.7628304821150849</v>
      </c>
      <c r="R24" s="57">
        <f t="shared" si="6"/>
        <v>10.263678066609479</v>
      </c>
      <c r="S24" s="57">
        <f t="shared" si="6"/>
        <v>8.0067567567567561</v>
      </c>
      <c r="T24" s="57">
        <f t="shared" si="6"/>
        <v>8.1020339363973495</v>
      </c>
      <c r="U24" s="57">
        <f t="shared" si="6"/>
        <v>16.54494382022472</v>
      </c>
      <c r="V24" s="57">
        <f t="shared" si="6"/>
        <v>10.598791755508174</v>
      </c>
      <c r="W24" s="57">
        <f>+W23/W22*100</f>
        <v>8.1225285737500688</v>
      </c>
      <c r="X24" s="57">
        <f t="shared" si="6"/>
        <v>12.099227708869646</v>
      </c>
      <c r="Y24" s="57">
        <f t="shared" si="6"/>
        <v>11.976187308766795</v>
      </c>
      <c r="Z24" s="57">
        <f t="shared" si="6"/>
        <v>13.121998078770414</v>
      </c>
      <c r="AA24" s="57">
        <f t="shared" si="6"/>
        <v>10.06338028169014</v>
      </c>
      <c r="AB24" s="57">
        <f t="shared" si="6"/>
        <v>9.7628304821150849</v>
      </c>
      <c r="AC24" s="57" t="e">
        <f t="shared" si="6"/>
        <v>#DIV/0!</v>
      </c>
      <c r="AD24" s="57" t="e">
        <f t="shared" si="6"/>
        <v>#DIV/0!</v>
      </c>
      <c r="AE24" s="57" t="e">
        <f>+AE23/AE22*100</f>
        <v>#DIV/0!</v>
      </c>
      <c r="AF24" s="57" t="e">
        <f>+AF23/AF22*100</f>
        <v>#DIV/0!</v>
      </c>
      <c r="AG24" s="57" t="e">
        <f>+AG23/AG22*100</f>
        <v>#DIV/0!</v>
      </c>
      <c r="AH24" s="57" t="e">
        <f>+AH23/AH22*100</f>
        <v>#DIV/0!</v>
      </c>
      <c r="AI24" s="57" t="e">
        <f t="shared" si="6"/>
        <v>#DIV/0!</v>
      </c>
      <c r="AJ24" s="57" t="e">
        <f>+AJ23/AJ22*100</f>
        <v>#DIV/0!</v>
      </c>
      <c r="AK24" s="57"/>
      <c r="AL24" s="57" t="e">
        <f t="shared" si="6"/>
        <v>#DIV/0!</v>
      </c>
      <c r="AM24" s="58">
        <f>+AM23/AM22*100</f>
        <v>12.001132068654744</v>
      </c>
      <c r="AN24" s="59"/>
      <c r="AO24" s="55"/>
    </row>
    <row r="25" spans="1:41" ht="128.25" customHeight="1" x14ac:dyDescent="0.25">
      <c r="A25" s="50"/>
      <c r="B25" s="60" t="s">
        <v>33</v>
      </c>
      <c r="C25" s="60"/>
      <c r="D25" s="60"/>
      <c r="E25" s="60"/>
      <c r="F25" s="60"/>
      <c r="G25" s="60"/>
      <c r="H25" s="61">
        <f t="shared" ref="H25:AL25" si="7">(H16+H17+H18+H19+H21)</f>
        <v>0</v>
      </c>
      <c r="I25" s="61">
        <f t="shared" si="7"/>
        <v>399</v>
      </c>
      <c r="J25" s="61">
        <f t="shared" si="7"/>
        <v>154</v>
      </c>
      <c r="K25" s="61">
        <f t="shared" si="7"/>
        <v>187</v>
      </c>
      <c r="L25" s="61">
        <f t="shared" si="7"/>
        <v>244</v>
      </c>
      <c r="M25" s="61">
        <f t="shared" si="7"/>
        <v>113</v>
      </c>
      <c r="N25" s="61">
        <f t="shared" si="7"/>
        <v>106</v>
      </c>
      <c r="O25" s="61">
        <f t="shared" si="7"/>
        <v>127</v>
      </c>
      <c r="P25" s="61">
        <f t="shared" si="7"/>
        <v>39</v>
      </c>
      <c r="Q25" s="61">
        <f t="shared" si="7"/>
        <v>233</v>
      </c>
      <c r="R25" s="61">
        <f t="shared" si="7"/>
        <v>139</v>
      </c>
      <c r="S25" s="61">
        <f t="shared" si="7"/>
        <v>97</v>
      </c>
      <c r="T25" s="61">
        <f t="shared" si="7"/>
        <v>399</v>
      </c>
      <c r="U25" s="61">
        <f t="shared" si="7"/>
        <v>154</v>
      </c>
      <c r="V25" s="61">
        <f t="shared" si="7"/>
        <v>187</v>
      </c>
      <c r="W25" s="61">
        <f t="shared" si="7"/>
        <v>244</v>
      </c>
      <c r="X25" s="61">
        <f t="shared" si="7"/>
        <v>113</v>
      </c>
      <c r="Y25" s="61">
        <f t="shared" si="7"/>
        <v>106</v>
      </c>
      <c r="Z25" s="61">
        <f t="shared" si="7"/>
        <v>127</v>
      </c>
      <c r="AA25" s="61">
        <f t="shared" si="7"/>
        <v>39</v>
      </c>
      <c r="AB25" s="61">
        <f t="shared" si="7"/>
        <v>233</v>
      </c>
      <c r="AC25" s="61">
        <f t="shared" si="7"/>
        <v>0</v>
      </c>
      <c r="AD25" s="61">
        <f t="shared" si="7"/>
        <v>0</v>
      </c>
      <c r="AE25" s="61">
        <f>(AE16+AE17+AE18+AE19+AE21)</f>
        <v>0</v>
      </c>
      <c r="AF25" s="61">
        <f>(AF16+AF17+AF18+AF19+AF21)</f>
        <v>0</v>
      </c>
      <c r="AG25" s="61">
        <f t="shared" si="7"/>
        <v>0</v>
      </c>
      <c r="AH25" s="61">
        <f t="shared" si="7"/>
        <v>0</v>
      </c>
      <c r="AI25" s="61">
        <f t="shared" si="7"/>
        <v>0</v>
      </c>
      <c r="AJ25" s="61">
        <f t="shared" si="7"/>
        <v>0</v>
      </c>
      <c r="AK25" s="61"/>
      <c r="AL25" s="61">
        <f t="shared" si="7"/>
        <v>0</v>
      </c>
      <c r="AM25" s="30">
        <f>SUM(H25:AL25)</f>
        <v>3440</v>
      </c>
      <c r="AN25" s="59"/>
      <c r="AO25" s="55"/>
    </row>
    <row r="26" spans="1:41" ht="128.25" customHeight="1" x14ac:dyDescent="0.25">
      <c r="A26" s="50">
        <v>6.58</v>
      </c>
      <c r="B26" s="60" t="s">
        <v>34</v>
      </c>
      <c r="C26" s="60"/>
      <c r="D26" s="60"/>
      <c r="E26" s="62">
        <v>5.0000000000000001E-3</v>
      </c>
      <c r="F26" s="60"/>
      <c r="G26" s="60"/>
      <c r="H26" s="63" t="e">
        <f>(H25/H22)*100</f>
        <v>#DIV/0!</v>
      </c>
      <c r="I26" s="63">
        <f t="shared" ref="I26:AL26" si="8">(I25/I22)*100</f>
        <v>2.2418249241487809</v>
      </c>
      <c r="J26" s="63">
        <f t="shared" si="8"/>
        <v>0.5407303370786517</v>
      </c>
      <c r="K26" s="63">
        <f t="shared" si="8"/>
        <v>0.83066808813077475</v>
      </c>
      <c r="L26" s="63">
        <f t="shared" si="8"/>
        <v>0.6608526082010725</v>
      </c>
      <c r="M26" s="63">
        <f t="shared" si="8"/>
        <v>0.5289024104844372</v>
      </c>
      <c r="N26" s="63">
        <f t="shared" si="8"/>
        <v>0.35253425568710922</v>
      </c>
      <c r="O26" s="63">
        <f t="shared" si="8"/>
        <v>0.40666026256804355</v>
      </c>
      <c r="P26" s="63">
        <f t="shared" si="8"/>
        <v>0.27464788732394368</v>
      </c>
      <c r="Q26" s="63">
        <f t="shared" si="8"/>
        <v>0.90590979782270609</v>
      </c>
      <c r="R26" s="63">
        <f t="shared" si="8"/>
        <v>0.51840525118412717</v>
      </c>
      <c r="S26" s="63">
        <f t="shared" si="8"/>
        <v>0.65540540540540537</v>
      </c>
      <c r="T26" s="63">
        <f t="shared" si="8"/>
        <v>2.2418249241487809</v>
      </c>
      <c r="U26" s="63">
        <f t="shared" si="8"/>
        <v>0.5407303370786517</v>
      </c>
      <c r="V26" s="63">
        <f t="shared" si="8"/>
        <v>0.83066808813077475</v>
      </c>
      <c r="W26" s="63">
        <f t="shared" si="8"/>
        <v>0.6608526082010725</v>
      </c>
      <c r="X26" s="63">
        <f t="shared" si="8"/>
        <v>0.5289024104844372</v>
      </c>
      <c r="Y26" s="63">
        <f t="shared" si="8"/>
        <v>0.35253425568710922</v>
      </c>
      <c r="Z26" s="63">
        <f t="shared" si="8"/>
        <v>0.40666026256804355</v>
      </c>
      <c r="AA26" s="63">
        <f t="shared" si="8"/>
        <v>0.27464788732394368</v>
      </c>
      <c r="AB26" s="63">
        <f t="shared" si="8"/>
        <v>0.90590979782270609</v>
      </c>
      <c r="AC26" s="63" t="e">
        <f t="shared" si="8"/>
        <v>#DIV/0!</v>
      </c>
      <c r="AD26" s="63" t="e">
        <f t="shared" si="8"/>
        <v>#DIV/0!</v>
      </c>
      <c r="AE26" s="63" t="e">
        <f>(AE25/AE22)*100</f>
        <v>#DIV/0!</v>
      </c>
      <c r="AF26" s="63" t="e">
        <f>(AF25/AF22)*100</f>
        <v>#DIV/0!</v>
      </c>
      <c r="AG26" s="63" t="e">
        <f>(AG25/AG22)*100</f>
        <v>#DIV/0!</v>
      </c>
      <c r="AH26" s="63" t="e">
        <f t="shared" si="8"/>
        <v>#DIV/0!</v>
      </c>
      <c r="AI26" s="63" t="e">
        <f t="shared" si="8"/>
        <v>#DIV/0!</v>
      </c>
      <c r="AJ26" s="63" t="e">
        <f t="shared" si="8"/>
        <v>#DIV/0!</v>
      </c>
      <c r="AK26" s="63"/>
      <c r="AL26" s="63" t="e">
        <f t="shared" si="8"/>
        <v>#DIV/0!</v>
      </c>
      <c r="AM26" s="58">
        <f>(AM25/AM22*100)</f>
        <v>0.69048159083746985</v>
      </c>
      <c r="AN26" s="64"/>
      <c r="AO26" s="55"/>
    </row>
    <row r="27" spans="1:41" ht="71.25" customHeight="1" x14ac:dyDescent="0.45">
      <c r="B27" t="s">
        <v>15</v>
      </c>
      <c r="L27">
        <v>5.1100000000000003</v>
      </c>
      <c r="R27" s="65">
        <f>2400+7336+5346+8095+6797+4800+5400</f>
        <v>40174</v>
      </c>
    </row>
    <row r="28" spans="1:41" ht="71.25" customHeight="1" x14ac:dyDescent="0.5">
      <c r="B28" t="s">
        <v>35</v>
      </c>
      <c r="X28" s="66"/>
    </row>
    <row r="29" spans="1:41" ht="71.25" customHeight="1" x14ac:dyDescent="0.25"/>
    <row r="30" spans="1:41" ht="71.25" customHeight="1" x14ac:dyDescent="0.25">
      <c r="AI30" s="67"/>
    </row>
    <row r="31" spans="1:41" ht="71.25" customHeight="1" x14ac:dyDescent="0.25"/>
    <row r="32" spans="1:41" ht="71.25" customHeight="1" x14ac:dyDescent="0.6">
      <c r="Z32" s="68" t="s">
        <v>36</v>
      </c>
      <c r="AA32" s="69"/>
      <c r="AB32" s="70"/>
      <c r="AC32" s="70"/>
    </row>
    <row r="33" spans="26:31" ht="71.25" customHeight="1" x14ac:dyDescent="0.6">
      <c r="Z33" s="68" t="s">
        <v>37</v>
      </c>
      <c r="AA33" s="69"/>
      <c r="AB33" s="70"/>
      <c r="AC33" s="71"/>
      <c r="AD33" s="72"/>
      <c r="AE33" s="72"/>
    </row>
    <row r="34" spans="26:31" ht="71.25" customHeight="1" x14ac:dyDescent="0.6">
      <c r="Z34" s="68" t="s">
        <v>38</v>
      </c>
      <c r="AA34" s="69"/>
      <c r="AB34" s="70"/>
      <c r="AC34" s="71"/>
      <c r="AD34" s="71"/>
      <c r="AE34" s="71"/>
    </row>
    <row r="35" spans="26:31" ht="71.25" customHeight="1" x14ac:dyDescent="0.6">
      <c r="Z35" s="73"/>
      <c r="AA35" s="73"/>
      <c r="AB35" s="70"/>
      <c r="AC35" s="71"/>
      <c r="AD35" s="71"/>
      <c r="AE35" s="71"/>
    </row>
    <row r="36" spans="26:31" ht="71.25" customHeight="1" x14ac:dyDescent="0.6">
      <c r="Z36" s="73"/>
      <c r="AA36" s="73"/>
      <c r="AB36" s="70"/>
      <c r="AC36" s="71"/>
      <c r="AD36" s="71"/>
      <c r="AE36" s="71"/>
    </row>
    <row r="37" spans="26:31" ht="71.25" customHeight="1" x14ac:dyDescent="0.25">
      <c r="AC37" s="71"/>
      <c r="AD37" s="71"/>
      <c r="AE37" s="71"/>
    </row>
    <row r="38" spans="26:31" ht="71.25" customHeight="1" x14ac:dyDescent="0.25">
      <c r="AC38" s="71"/>
      <c r="AD38" s="71"/>
      <c r="AE38" s="71"/>
    </row>
    <row r="39" spans="26:31" ht="71.25" customHeight="1" x14ac:dyDescent="0.25">
      <c r="AC39" s="71"/>
      <c r="AD39" s="71"/>
      <c r="AE39" s="71"/>
    </row>
    <row r="40" spans="26:31" ht="71.25" customHeight="1" x14ac:dyDescent="0.25">
      <c r="AC40" s="71"/>
      <c r="AD40" s="71"/>
      <c r="AE40" s="71"/>
    </row>
    <row r="41" spans="26:31" ht="71.25" customHeight="1" x14ac:dyDescent="0.25">
      <c r="AC41" s="71"/>
      <c r="AD41" s="71"/>
      <c r="AE41" s="71"/>
    </row>
    <row r="42" spans="26:31" ht="71.25" customHeight="1" x14ac:dyDescent="0.25">
      <c r="AC42" s="71"/>
      <c r="AD42" s="71"/>
      <c r="AE42" s="71"/>
    </row>
    <row r="43" spans="26:31" ht="71.25" customHeight="1" x14ac:dyDescent="0.25">
      <c r="AC43" s="74"/>
      <c r="AD43" s="74"/>
      <c r="AE43" s="74"/>
    </row>
    <row r="44" spans="26:31" ht="71.25" customHeight="1" x14ac:dyDescent="0.25"/>
  </sheetData>
  <mergeCells count="2">
    <mergeCell ref="H1:X1"/>
    <mergeCell ref="AJ1:AM1"/>
  </mergeCells>
  <conditionalFormatting sqref="AM5:AM22">
    <cfRule type="top10" dxfId="0" priority="2" percent="1" rank="10"/>
  </conditionalFormatting>
  <printOptions horizontalCentered="1" verticalCentered="1"/>
  <pageMargins left="0" right="0" top="0" bottom="0" header="0" footer="0"/>
  <pageSetup paperSize="9" scale="10" orientation="landscape" r:id="rId1"/>
  <colBreaks count="2" manualBreakCount="2">
    <brk id="27" max="24" man="1"/>
    <brk id="28" max="2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May-2026 Report</vt:lpstr>
      <vt:lpstr>'May-2026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MSTPLQ</dc:creator>
  <cp:lastModifiedBy>MSTPLQ</cp:lastModifiedBy>
  <dcterms:created xsi:type="dcterms:W3CDTF">2026-05-15T17:58:26Z</dcterms:created>
  <dcterms:modified xsi:type="dcterms:W3CDTF">2026-05-18T18:04:40Z</dcterms:modified>
</cp:coreProperties>
</file>